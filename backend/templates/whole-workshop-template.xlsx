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mhub-my.sharepoint.com/personal/s_bniali_tamhub_com/Documents/Desktop/Filmmaking SFC/Dashboard/"/>
    </mc:Choice>
  </mc:AlternateContent>
  <xr:revisionPtr revIDLastSave="0" documentId="8_{4333401E-6A01-44DC-AAD2-FAF78010144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الورشات" sheetId="4" r:id="rId1"/>
    <sheet name="الإحصائيات" sheetId="2" r:id="rId2"/>
    <sheet name="المشاركي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4" l="1"/>
  <c r="AB3" i="4"/>
  <c r="AA3" i="4"/>
  <c r="Z3" i="4"/>
  <c r="Y3" i="4"/>
  <c r="S3" i="2"/>
  <c r="A3" i="2"/>
  <c r="D3" i="2"/>
  <c r="G3" i="2"/>
  <c r="J3" i="2"/>
  <c r="M3" i="2"/>
  <c r="T3" i="2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<sst xmlns="http://schemas.openxmlformats.org/spreadsheetml/2006/main" count="522" uniqueCount="354">
  <si>
    <t>اسم الورشة</t>
  </si>
  <si>
    <t>ورشة كتابة الفيلم القصير</t>
  </si>
  <si>
    <t>نوع الورشة</t>
  </si>
  <si>
    <t>ورشة حضورية</t>
  </si>
  <si>
    <t>المجال</t>
  </si>
  <si>
    <t>كتابة السيناريو</t>
  </si>
  <si>
    <t>الحالة</t>
  </si>
  <si>
    <t>المكتملة</t>
  </si>
  <si>
    <t>المنطقة</t>
  </si>
  <si>
    <t>منطقة مكة المكرمة</t>
  </si>
  <si>
    <t>المدينة</t>
  </si>
  <si>
    <t>جدة</t>
  </si>
  <si>
    <t>تاريخ البداية</t>
  </si>
  <si>
    <t>15 نوفمبر 2026</t>
  </si>
  <si>
    <t>تاريخ النهاية</t>
  </si>
  <si>
    <t>17 نوفمبر 2026</t>
  </si>
  <si>
    <t>المدرب</t>
  </si>
  <si>
    <t>إميلي تومسون</t>
  </si>
  <si>
    <t>جنسية المدرب</t>
  </si>
  <si>
    <t>كندا</t>
  </si>
  <si>
    <t>نبذة عن المدرب</t>
  </si>
  <si>
    <t>كاتبة سيناريو كندية ومدرِّبة متخصصة في بناء القصة وكتابة الحوار للأفلام القصيرة والمسلسلات.</t>
  </si>
  <si>
    <t>المستوى</t>
  </si>
  <si>
    <t>متقدم</t>
  </si>
  <si>
    <t>اللغة</t>
  </si>
  <si>
    <t>العربية</t>
  </si>
  <si>
    <t>طريقة الحضور</t>
  </si>
  <si>
    <t>حضوري</t>
  </si>
  <si>
    <t>اسم الموقع</t>
  </si>
  <si>
    <t>استوديو السرد البصري</t>
  </si>
  <si>
    <t>رابط الموقع</t>
  </si>
  <si>
    <t>https://maps.app.goo.gl/S3yDvL9YzAMj63rK6</t>
  </si>
  <si>
    <t>منصة الاجتماع</t>
  </si>
  <si>
    <t>—</t>
  </si>
  <si>
    <t>رابط الاجتماع</t>
  </si>
  <si>
    <t>السعة</t>
  </si>
  <si>
    <t>عدد المسجلين</t>
  </si>
  <si>
    <t>الوصف</t>
  </si>
  <si>
    <t>ورشة متخصصة في كتابة الفيلم القصير تغطي بناء البنية السردية وتطوير الشخصيات وصياغة الحوار السينمائي.</t>
  </si>
  <si>
    <t>الأهداف</t>
  </si>
  <si>
    <t>البنية السردية | تطوير الشخصيات | الحوار السينمائي</t>
  </si>
  <si>
    <t>تاريخ الإعلان</t>
  </si>
  <si>
    <t>تاريخ آخر تحديث</t>
  </si>
  <si>
    <t>إجمالي التسجيلات</t>
  </si>
  <si>
    <t>المقبولون</t>
  </si>
  <si>
    <t>الحضور الفعلي</t>
  </si>
  <si>
    <t>5 نجوم</t>
  </si>
  <si>
    <t>4 نجوم</t>
  </si>
  <si>
    <t>3 نجوم</t>
  </si>
  <si>
    <t>2 نجوم</t>
  </si>
  <si>
    <t>1 نجمة</t>
  </si>
  <si>
    <t>متوسط التقييم</t>
  </si>
  <si>
    <t>إجمالي عدد التقييمات</t>
  </si>
  <si>
    <t>الاسم</t>
  </si>
  <si>
    <t>الهاتف</t>
  </si>
  <si>
    <t>البريد الإلكتروني</t>
  </si>
  <si>
    <t>القسم</t>
  </si>
  <si>
    <t>عدد الحضور</t>
  </si>
  <si>
    <t>عدد الغياب</t>
  </si>
  <si>
    <t>نسبة الحضور</t>
  </si>
  <si>
    <t>مؤهل للشهادة</t>
  </si>
  <si>
    <t>إسراء عثمان</t>
  </si>
  <si>
    <t>+966541620476</t>
  </si>
  <si>
    <t>esraaoth01@gmail.com</t>
  </si>
  <si>
    <t>Animation</t>
  </si>
  <si>
    <t>نعم</t>
  </si>
  <si>
    <t>تكوين الفرج</t>
  </si>
  <si>
    <t>+966569408779</t>
  </si>
  <si>
    <t>takween065@gmail.com</t>
  </si>
  <si>
    <t>عبدالعزيز سليم الدحيل</t>
  </si>
  <si>
    <t>+966555690701</t>
  </si>
  <si>
    <t>azizversion1@gmail.com</t>
  </si>
  <si>
    <t>Screenwriting</t>
  </si>
  <si>
    <t>آلاء خالد مدني</t>
  </si>
  <si>
    <t>+966504411998</t>
  </si>
  <si>
    <t>ialaa7@hotmail.com</t>
  </si>
  <si>
    <t>هياء عبد الكريم شكري درويش</t>
  </si>
  <si>
    <t>+966558083320</t>
  </si>
  <si>
    <t>hayashokry22@gmail.com</t>
  </si>
  <si>
    <t>عمر عبدالعزيز الفواز</t>
  </si>
  <si>
    <t>+966566657256</t>
  </si>
  <si>
    <t>troplxx1@gmail.com</t>
  </si>
  <si>
    <t>Film Production</t>
  </si>
  <si>
    <t>حسين الخلف</t>
  </si>
  <si>
    <t>+966562157857</t>
  </si>
  <si>
    <t>hussainalkhalaf51@gmail.com</t>
  </si>
  <si>
    <t>لولوه محمد الشهري</t>
  </si>
  <si>
    <t>+966558401369</t>
  </si>
  <si>
    <t>lolasmoo@gmail.com</t>
  </si>
  <si>
    <t>Marketing &amp; Advertising</t>
  </si>
  <si>
    <t>لا</t>
  </si>
  <si>
    <t>رغد مجلي</t>
  </si>
  <si>
    <t>+966558411710</t>
  </si>
  <si>
    <t>raghad306@gmail.com</t>
  </si>
  <si>
    <t>الوليد عبدالملك الشويعر</t>
  </si>
  <si>
    <t>+966500549605</t>
  </si>
  <si>
    <t>alwaleedalshwyr@gmail.com</t>
  </si>
  <si>
    <t>Directing Films</t>
  </si>
  <si>
    <t>لجين فلمبان</t>
  </si>
  <si>
    <t>+966583662756</t>
  </si>
  <si>
    <t>lujainfelmban@gmail.com</t>
  </si>
  <si>
    <t>لينا الميمان</t>
  </si>
  <si>
    <t>+966545454310</t>
  </si>
  <si>
    <t>leena.almiman@hotmail.com</t>
  </si>
  <si>
    <t>نوره جمعه فرج الدوسري</t>
  </si>
  <si>
    <t>+966567522140</t>
  </si>
  <si>
    <t>nouraaldoussari@gmail.com</t>
  </si>
  <si>
    <t>Sound Mixing</t>
  </si>
  <si>
    <t>Alabdulkarim Reem</t>
  </si>
  <si>
    <t>+966554093300</t>
  </si>
  <si>
    <t>reem.i.alabdulkarim@gmail.com</t>
  </si>
  <si>
    <t>يزيد بخيت مجرشي</t>
  </si>
  <si>
    <t>+966508035090</t>
  </si>
  <si>
    <t>yazee999@gmail.com</t>
  </si>
  <si>
    <t>Acting</t>
  </si>
  <si>
    <t>غازي عاشور</t>
  </si>
  <si>
    <t>+966504634284</t>
  </si>
  <si>
    <t>gaaashoor@hotmail.com</t>
  </si>
  <si>
    <t>Production Management</t>
  </si>
  <si>
    <t>فاطمة مشبب الحيدر</t>
  </si>
  <si>
    <t>+966546683192</t>
  </si>
  <si>
    <t>ludva7301@gmail.com</t>
  </si>
  <si>
    <t>مرام فالح الخطيب</t>
  </si>
  <si>
    <t>+966555292267</t>
  </si>
  <si>
    <t>maroxd100@gmail.com</t>
  </si>
  <si>
    <t>Sound effects</t>
  </si>
  <si>
    <t>Yara Bukhari</t>
  </si>
  <si>
    <t>+966590011352</t>
  </si>
  <si>
    <t>yoragum@hotmail.com</t>
  </si>
  <si>
    <t>Cinematography</t>
  </si>
  <si>
    <t>متاب سالم</t>
  </si>
  <si>
    <t>+966557972404</t>
  </si>
  <si>
    <t>keqxcv@gmail.com</t>
  </si>
  <si>
    <t>Film Editing</t>
  </si>
  <si>
    <t>محمد يوسف عبدالله</t>
  </si>
  <si>
    <t>+966568839785</t>
  </si>
  <si>
    <t>cceifa410@gmail.com</t>
  </si>
  <si>
    <t>رزان بلخير باتيس</t>
  </si>
  <si>
    <t>+966538469039</t>
  </si>
  <si>
    <t>rzanblkhear@gmail.com</t>
  </si>
  <si>
    <t>منى مستور العصيمي</t>
  </si>
  <si>
    <t>+966563321714</t>
  </si>
  <si>
    <t>malosaimi168@gmail.com</t>
  </si>
  <si>
    <t>ميعاد سعود العتيبي</t>
  </si>
  <si>
    <t>+966531337540</t>
  </si>
  <si>
    <t>myaadsaud@gmail.com</t>
  </si>
  <si>
    <t>ثريا حسن العيسى</t>
  </si>
  <si>
    <t>+966542355647</t>
  </si>
  <si>
    <t>thorya5@gmail.com</t>
  </si>
  <si>
    <t>ميسون الرمال</t>
  </si>
  <si>
    <t>+966544411941</t>
  </si>
  <si>
    <t>mysoon.ram@gmail.com</t>
  </si>
  <si>
    <t>أمجاد الدبل</t>
  </si>
  <si>
    <t>+96633247623</t>
  </si>
  <si>
    <t>oanaamjad@gmail.com</t>
  </si>
  <si>
    <t>نسرين عبدالمؤمن التركستاني</t>
  </si>
  <si>
    <t>+966564030406</t>
  </si>
  <si>
    <t>nesreenalturkistani@gmail.com</t>
  </si>
  <si>
    <t>عذاري سعود علي العتيبي</t>
  </si>
  <si>
    <t>+966552716623</t>
  </si>
  <si>
    <t>wetharia2022@gmail.com</t>
  </si>
  <si>
    <t>ميمونه ادريس الهوسه</t>
  </si>
  <si>
    <t>+966559928269</t>
  </si>
  <si>
    <t>meem.ed@icloud.com</t>
  </si>
  <si>
    <t>نهلا العمري</t>
  </si>
  <si>
    <t>+966506313175</t>
  </si>
  <si>
    <t>nahla.artist@gmail.com</t>
  </si>
  <si>
    <t>هند سعيد صالح الغامدي</t>
  </si>
  <si>
    <t>+966502415822</t>
  </si>
  <si>
    <t>h.crisfor@gmail.com</t>
  </si>
  <si>
    <t>ريان سامي خلف العمري</t>
  </si>
  <si>
    <t>+966595030039</t>
  </si>
  <si>
    <t>rsaljabry@gmail.com</t>
  </si>
  <si>
    <t>صالح شاهر الخمعلي</t>
  </si>
  <si>
    <t>+966533629507</t>
  </si>
  <si>
    <t>cresbogaming@gmail.com</t>
  </si>
  <si>
    <t>باسمة حلوي</t>
  </si>
  <si>
    <t>+966537963473</t>
  </si>
  <si>
    <t>basmweez2222@gmail.com</t>
  </si>
  <si>
    <t>شهد عبدالله المساوى</t>
  </si>
  <si>
    <t>+966557509858</t>
  </si>
  <si>
    <t>shahhd2011@hotmail.com</t>
  </si>
  <si>
    <t>كوثر قاسم عبدالمجيد أبوالمكارم</t>
  </si>
  <si>
    <t>+966594116917</t>
  </si>
  <si>
    <t>kautharqassim@gmail.com</t>
  </si>
  <si>
    <t>اثير علي هداش</t>
  </si>
  <si>
    <t>+966530224550</t>
  </si>
  <si>
    <t>atheer_had@outlook.sa</t>
  </si>
  <si>
    <t>فراس سمير هاشم</t>
  </si>
  <si>
    <t>+966505617670</t>
  </si>
  <si>
    <t>feras_hashim@yahoo.com</t>
  </si>
  <si>
    <t>عبدالرحمن فهد الغامدي</t>
  </si>
  <si>
    <t>+966536946993</t>
  </si>
  <si>
    <t>cr7woow@hotmail.com</t>
  </si>
  <si>
    <t>عبدالله محمد عبدالعزيز الحوطي</t>
  </si>
  <si>
    <t>+966547470071</t>
  </si>
  <si>
    <t>directorhouti@gmail.com</t>
  </si>
  <si>
    <t>سلمان سعد الحربي</t>
  </si>
  <si>
    <t>+966552588092</t>
  </si>
  <si>
    <t>sadfg2369@gmail.com</t>
  </si>
  <si>
    <t>Production Design</t>
  </si>
  <si>
    <t>رهف أحمد الزهراني</t>
  </si>
  <si>
    <t>+966501039298</t>
  </si>
  <si>
    <t>rahaf.alzahrani20@gmail.com</t>
  </si>
  <si>
    <t>Huriyyah Hussain Alqahtani</t>
  </si>
  <si>
    <t>+966535473343</t>
  </si>
  <si>
    <t>huoriahuseen@gmail.com</t>
  </si>
  <si>
    <t>تركي سليمان الحربي</t>
  </si>
  <si>
    <t>+966562708171</t>
  </si>
  <si>
    <t>ilharbeyturki77@gmail.com</t>
  </si>
  <si>
    <t>هاجر محمد</t>
  </si>
  <si>
    <t>+966542917125</t>
  </si>
  <si>
    <t>hajaralzaagi@gmail.com</t>
  </si>
  <si>
    <t>ليان محمدأمين احمد جان</t>
  </si>
  <si>
    <t>+966599833115</t>
  </si>
  <si>
    <t>layan.moonlight2000@gmail.com</t>
  </si>
  <si>
    <t>المجد عايض القربي</t>
  </si>
  <si>
    <t>+966560722089</t>
  </si>
  <si>
    <t>almajdalqurbe@gmail.com</t>
  </si>
  <si>
    <t>نورة عبدالله ال مغيرة</t>
  </si>
  <si>
    <t>+966534672446</t>
  </si>
  <si>
    <t>nourahmogheerah@gmail.com</t>
  </si>
  <si>
    <t>مشاعل المطيري</t>
  </si>
  <si>
    <t>+966535638855</t>
  </si>
  <si>
    <t>mashaelism@outlook.com</t>
  </si>
  <si>
    <t>العنود خالد عبدالله العمري</t>
  </si>
  <si>
    <t>+966557902499</t>
  </si>
  <si>
    <t>al3noudalamri@gmail.com</t>
  </si>
  <si>
    <t>أحمد إبراهيم البوقرين</t>
  </si>
  <si>
    <t>+966537142036</t>
  </si>
  <si>
    <t>ahmadaa977albogrin@gmail.com</t>
  </si>
  <si>
    <t>لما عبدالله</t>
  </si>
  <si>
    <t>+96650467458</t>
  </si>
  <si>
    <t>la034334@gmail.com</t>
  </si>
  <si>
    <t>سميه احمد الغامدي</t>
  </si>
  <si>
    <t>+966530899219</t>
  </si>
  <si>
    <t>somayah.a.alghamdi@gmail.com</t>
  </si>
  <si>
    <t>علي ذياب علي الحربي</t>
  </si>
  <si>
    <t>+966559893380</t>
  </si>
  <si>
    <t>alialmo3mar1@gmail.com</t>
  </si>
  <si>
    <t>اسيل سليمان الوهيبي</t>
  </si>
  <si>
    <t>+966558339365</t>
  </si>
  <si>
    <t>aseelsulimanw@gmail.com</t>
  </si>
  <si>
    <t>ديما محمد العدواني</t>
  </si>
  <si>
    <t>+966593571735</t>
  </si>
  <si>
    <t>deema.aladwani2022@gmail.com</t>
  </si>
  <si>
    <t>نوره محمد دغاسي</t>
  </si>
  <si>
    <t>+966530251627</t>
  </si>
  <si>
    <t>noradaghasi@gmail.com</t>
  </si>
  <si>
    <t>رناسالم باكدم</t>
  </si>
  <si>
    <t>+966570646816</t>
  </si>
  <si>
    <t>ranabakadam@gmail.com</t>
  </si>
  <si>
    <t>غدير سعود العتيبي</t>
  </si>
  <si>
    <t>+966568413592</t>
  </si>
  <si>
    <t>ghadeerotaibii@gmail.com</t>
  </si>
  <si>
    <t>مها سلطان العمري</t>
  </si>
  <si>
    <t>+966560249409</t>
  </si>
  <si>
    <t>maha.sul02@gmail.com</t>
  </si>
  <si>
    <t>لانا عمار مدني</t>
  </si>
  <si>
    <t>+966534483573</t>
  </si>
  <si>
    <t>bylanaammar@gmail.com</t>
  </si>
  <si>
    <t>ريم محمد حمدي</t>
  </si>
  <si>
    <t>+966559026133</t>
  </si>
  <si>
    <t>reemww68@gmail.com</t>
  </si>
  <si>
    <t>ولاء سندي</t>
  </si>
  <si>
    <t>+966555585208</t>
  </si>
  <si>
    <t>wjsindi@gmail.com</t>
  </si>
  <si>
    <t>نورة الصمعاني</t>
  </si>
  <si>
    <t>+966557483218</t>
  </si>
  <si>
    <t>no.no1430@hotmail.com</t>
  </si>
  <si>
    <t>أثير سعود المطيري</t>
  </si>
  <si>
    <t>+966533590526</t>
  </si>
  <si>
    <t>a70theer5@gmail.com</t>
  </si>
  <si>
    <t>مياس المالكي</t>
  </si>
  <si>
    <t>+966535526959</t>
  </si>
  <si>
    <t>mias1426mm@gmail.com</t>
  </si>
  <si>
    <t>مهدي علي دهل</t>
  </si>
  <si>
    <t>+966530632786</t>
  </si>
  <si>
    <t>harokileyo@gmail.com</t>
  </si>
  <si>
    <t>مريم جابر الفيفي</t>
  </si>
  <si>
    <t>+966558928148</t>
  </si>
  <si>
    <t>eng.mariamjm@gmail.com</t>
  </si>
  <si>
    <t>رنا الزهراني</t>
  </si>
  <si>
    <t>+966547417908</t>
  </si>
  <si>
    <t>rana.m.alzahrani@gmail.com</t>
  </si>
  <si>
    <t>شوق سعد لافي الحجيلي</t>
  </si>
  <si>
    <t>+966543759916</t>
  </si>
  <si>
    <t>alhejailishouq@gmail.com</t>
  </si>
  <si>
    <t>غلا عبدالله القحطاني</t>
  </si>
  <si>
    <t>+966559127563</t>
  </si>
  <si>
    <t>gh.alqahtani03@gmail.com</t>
  </si>
  <si>
    <t>ريم البو عليان</t>
  </si>
  <si>
    <t>+966553111989</t>
  </si>
  <si>
    <t>reem.albu.olayan@gmail.com</t>
  </si>
  <si>
    <t>علي حسين الدندن</t>
  </si>
  <si>
    <t>+966546900950</t>
  </si>
  <si>
    <t>alidandan847@gmail.com</t>
  </si>
  <si>
    <t>ليان عبدالله يعقوب</t>
  </si>
  <si>
    <t>+966545904481</t>
  </si>
  <si>
    <t>yaqoblayan@gmail.com</t>
  </si>
  <si>
    <t>Visual effects</t>
  </si>
  <si>
    <t>رهف  ماجد العسعوس</t>
  </si>
  <si>
    <t>+966553260706</t>
  </si>
  <si>
    <t>mjtrhf@gmail.com</t>
  </si>
  <si>
    <t>محمد سلمان الهاشم</t>
  </si>
  <si>
    <t>+966599080723</t>
  </si>
  <si>
    <t>aifordesigners@gmail.com</t>
  </si>
  <si>
    <t>مشعل بن مسلم</t>
  </si>
  <si>
    <t>+966551957017</t>
  </si>
  <si>
    <t>meshalbinmusallam@gmail.com</t>
  </si>
  <si>
    <t>حصة الناصر</t>
  </si>
  <si>
    <t>+966552747326</t>
  </si>
  <si>
    <t>hessaalnasser783@gmail.com</t>
  </si>
  <si>
    <t>شهد البقمي</t>
  </si>
  <si>
    <t>+966545942744</t>
  </si>
  <si>
    <t>shahadcreativesa@gmail.com</t>
  </si>
  <si>
    <t>تهاني حمزه تكروني</t>
  </si>
  <si>
    <t>+966580741003</t>
  </si>
  <si>
    <t>tahani.hamza22@gmail.com</t>
  </si>
  <si>
    <t>ريم سليمان طوله</t>
  </si>
  <si>
    <t>+966565924870</t>
  </si>
  <si>
    <t>tolahreem@gmail.com</t>
  </si>
  <si>
    <t>وعد الشمري</t>
  </si>
  <si>
    <t>+966530990169</t>
  </si>
  <si>
    <t>waad.shammry@gmail.com</t>
  </si>
  <si>
    <t>أكبر العلي</t>
  </si>
  <si>
    <t>+966538835576</t>
  </si>
  <si>
    <t>a0538835576@gmail.com</t>
  </si>
  <si>
    <t>شوق صالح العمري</t>
  </si>
  <si>
    <t>+966594566298</t>
  </si>
  <si>
    <t>shouqsaleh.alomari@gmail.com</t>
  </si>
  <si>
    <t>Mansuor</t>
  </si>
  <si>
    <t>+966557713969</t>
  </si>
  <si>
    <t>mas2030a@gmail.com</t>
  </si>
  <si>
    <t>محمد احمد محمد كعبي</t>
  </si>
  <si>
    <t>+966530129973</t>
  </si>
  <si>
    <t>m.a.k.study.20@outlook.com</t>
  </si>
  <si>
    <t>أفنان باويان</t>
  </si>
  <si>
    <t>+966557879660</t>
  </si>
  <si>
    <t>afnan.bawyan@gmail.com</t>
  </si>
  <si>
    <t>ورش العمل</t>
  </si>
  <si>
    <t>التسجيلات - ذكور</t>
  </si>
  <si>
    <t>التسجيلات - إناث</t>
  </si>
  <si>
    <t>التسجيلات - الإجمالي</t>
  </si>
  <si>
    <t>المقبولون - ذكور</t>
  </si>
  <si>
    <t>المقبولون - إناث</t>
  </si>
  <si>
    <t>المقبولون - الإجمالي</t>
  </si>
  <si>
    <t>الحضور - ذكور</t>
  </si>
  <si>
    <t>الحضور - إناث</t>
  </si>
  <si>
    <t>الحضور - الإجمالي</t>
  </si>
  <si>
    <t>الحضور الفعلي - ذكور</t>
  </si>
  <si>
    <t>الحضور الفعلي - إناث</t>
  </si>
  <si>
    <t>الحضور الفعلي - الإجمالي</t>
  </si>
  <si>
    <t>إحصائيات الورش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</si>
</sst>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b/>
      <sz val="16"/>
      <color rgb="FFFFFFFF"/>
      <name val="Effra"/>
      <family val="2"/>
    </font>
    <font>
      <sz val="12"/>
      <color theme="1"/>
      <name val="Effra"/>
      <family val="2"/>
    </font>
    <font>
      <b/>
      <sz val="12"/>
      <color rgb="FFFFFFFF"/>
      <name val="Effra"/>
      <family val="2"/>
    </font>
    <font>
      <b/>
      <sz val="18"/>
      <color rgb="FFFFFFFF"/>
      <name val="Effra"/>
    </font>
    <font>
      <b/>
      <sz val="11"/>
      <color rgb="FFFFFFFF"/>
      <name val="Effra"/>
    </font>
    <font>
      <sz val="11"/>
      <color rgb="FF0F2938"/>
      <name val="Effra"/>
    </font>
    <font>
      <b/>
      <sz val="11"/>
      <color rgb="FF0F2938"/>
      <name val="Effra"/>
    </font>
  </fonts>
  <fills count="10">
    <fill>
      <patternFill patternType="none"/>
    </fill>
    <fill>
      <patternFill patternType="gray125"/>
    </fill>
    <fill>
      <patternFill patternType="solid">
        <fgColor rgb="FF0F2938"/>
        <bgColor indexed="64"/>
      </patternFill>
    </fill>
    <fill>
      <patternFill patternType="solid">
        <fgColor rgb="FF17627A"/>
        <bgColor indexed="64"/>
      </patternFill>
    </fill>
    <fill>
      <patternFill patternType="solid">
        <fgColor rgb="FFEF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ECE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09791"/>
        <bgColor indexed="64"/>
      </patternFill>
    </fill>
    <fill>
      <patternFill patternType="solid">
        <fgColor rgb="FFD2E3E1"/>
        <bgColor indexed="64"/>
      </patternFill>
    </fill>
  </fills>
  <borders count="7">
    <border>
      <left/>
      <right/>
      <top/>
      <bottom/>
      <diagonal/>
    </border>
    <border>
      <left style="thin">
        <color rgb="FFC2D0D6"/>
      </left>
      <right/>
      <top style="thin">
        <color rgb="FFC2D0D6"/>
      </top>
      <bottom/>
      <diagonal/>
    </border>
    <border>
      <left style="thin">
        <color rgb="FFC2D0D6"/>
      </left>
      <right/>
      <top/>
      <bottom style="thin">
        <color rgb="FFC2D0D6"/>
      </bottom>
      <diagonal/>
    </border>
    <border>
      <left/>
      <right style="thin">
        <color rgb="FFC2D0D6"/>
      </right>
      <top style="thin">
        <color rgb="FFC2D0D6"/>
      </top>
      <bottom/>
      <diagonal/>
    </border>
    <border>
      <left/>
      <right style="thin">
        <color rgb="FFC2D0D6"/>
      </right>
      <top/>
      <bottom style="thin">
        <color rgb="FFC2D0D6"/>
      </bottom>
      <diagonal/>
    </border>
    <border>
      <left style="thin">
        <color rgb="FFC2D0D6"/>
      </left>
      <right style="thin">
        <color rgb="FFC2D0D6"/>
      </right>
      <top style="thin">
        <color rgb="FFC2D0D6"/>
      </top>
      <bottom/>
      <diagonal/>
    </border>
    <border>
      <left style="thin">
        <color rgb="FFC2D0D6"/>
      </left>
      <right style="thin">
        <color rgb="FFC2D0D6"/>
      </right>
      <top/>
      <bottom style="thin">
        <color rgb="FFC2D0D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5" borderId="0" xfId="0" applyFont="1" applyFill="1" applyAlignment="1">
      <alignment horizontal="right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right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9" fontId="2" fillId="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3" fontId="6" fillId="4" borderId="5" xfId="0" applyNumberFormat="1" applyFont="1" applyFill="1" applyBorder="1" applyAlignment="1">
      <alignment horizontal="center" vertical="center" wrapText="1"/>
    </xf>
    <xf numFmtId="3" fontId="7" fillId="9" borderId="5" xfId="0" applyNumberFormat="1" applyFont="1" applyFill="1" applyBorder="1" applyAlignment="1">
      <alignment horizontal="center" vertical="center" wrapText="1"/>
    </xf>
    <xf numFmtId="164" fontId="7" fillId="9" borderId="5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6" fillId="4" borderId="5" xfId="0" applyNumberFormat="1" applyFont="1" applyFill="1" applyBorder="1" applyAlignment="1">
      <alignment horizontal="center" vertical="center" wrapText="1"/>
    </xf>
    <xf numFmtId="14" fontId="6" fillId="4" borderId="5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/>
    </xf>
    <xf numFmtId="3" fontId="6" fillId="4" borderId="5" xfId="0" applyNumberFormat="1" applyFont="1" applyFill="1" applyBorder="1" applyAlignment="1">
      <alignment horizontal="center" vertical="center"/>
    </xf>
    <xf numFmtId="3" fontId="7" fillId="9" borderId="5" xfId="0" applyNumberFormat="1" applyFont="1" applyFill="1" applyBorder="1" applyAlignment="1">
      <alignment horizontal="center" vertical="center"/>
    </xf>
    <xf numFmtId="164" fontId="7" fillId="9" borderId="5" xfId="0" applyNumberFormat="1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 readingOrder="2"/>
    </xf>
    <xf numFmtId="0" fontId="5" fillId="3" borderId="4" xfId="0" applyFont="1" applyFill="1" applyBorder="1" applyAlignment="1">
      <alignment horizontal="center" vertical="center" wrapText="1" readingOrder="2"/>
    </xf>
    <xf numFmtId="0" fontId="5" fillId="3" borderId="6" xfId="0" applyFont="1" applyFill="1" applyBorder="1" applyAlignment="1">
      <alignment horizontal="center" vertical="center" wrapText="1" readingOrder="2"/>
    </xf>
    <xf numFmtId="0" fontId="5" fillId="8" borderId="6" xfId="0" applyFont="1" applyFill="1" applyBorder="1" applyAlignment="1">
      <alignment horizontal="center" vertical="center" wrapText="1" readingOrder="2"/>
    </xf>
    <xf numFmtId="0" fontId="5" fillId="8" borderId="2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6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Effra"/>
        <scheme val="none"/>
      </font>
      <fill>
        <patternFill patternType="solid">
          <fgColor indexed="64"/>
          <bgColor rgb="FF17627A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C2D0D6"/>
        </left>
        <right style="thin">
          <color rgb="FFC2D0D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D2E3E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/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164" formatCode="0.0"/>
      <fill>
        <patternFill patternType="solid">
          <fgColor indexed="64"/>
          <bgColor rgb="FFD2E3E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D2E3E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D2E3E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D2E3E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D2E3E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rgb="FFC2D0D6"/>
        </right>
        <top style="thin">
          <color rgb="FFC2D0D6"/>
        </top>
        <bottom/>
        <vertical/>
        <horizontal/>
      </border>
    </dxf>
    <dxf>
      <border outline="0">
        <top style="thin">
          <color rgb="FFC2D0D6"/>
        </top>
      </border>
    </dxf>
    <dxf>
      <border outline="0">
        <bottom style="thin">
          <color rgb="FFC2D0D6"/>
        </bottom>
      </border>
    </dxf>
    <dxf>
      <border outline="0">
        <left style="thin">
          <color rgb="FFC2D0D6"/>
        </left>
        <right style="thin">
          <color rgb="FFC2D0D6"/>
        </right>
        <top style="thin">
          <color rgb="FFC2D0D6"/>
        </top>
        <bottom style="thin">
          <color rgb="FFC2D0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19" formatCode="m/d/yyyy"/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2D0D6"/>
        </left>
        <right style="thin">
          <color rgb="FFC2D0D6"/>
        </right>
        <top style="thin">
          <color rgb="FFC2D0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2D0D6"/>
        </left>
        <right style="thin">
          <color rgb="FFC2D0D6"/>
        </right>
        <top style="thin">
          <color rgb="FFC2D0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19" formatCode="m/d/yyyy"/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2D0D6"/>
        </left>
        <right style="thin">
          <color rgb="FFC2D0D6"/>
        </right>
        <top style="thin">
          <color rgb="FFC2D0D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2D0D6"/>
        </left>
        <right style="thin">
          <color rgb="FFC2D0D6"/>
        </right>
        <top style="thin">
          <color rgb="FFC2D0D6"/>
        </top>
        <bottom/>
      </border>
    </dxf>
    <dxf>
      <font>
        <b/>
        <i val="0"/>
        <color rgb="FFB21F2D"/>
      </font>
      <fill>
        <patternFill patternType="solid">
          <fgColor indexed="64"/>
          <bgColor rgb="FFFBE7E9"/>
        </patternFill>
      </fill>
    </dxf>
    <dxf>
      <font>
        <b/>
        <i val="0"/>
        <color rgb="FF1E7A46"/>
      </font>
      <fill>
        <patternFill patternType="solid">
          <fgColor indexed="64"/>
          <bgColor rgb="FFE4F3E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0" formatCode="General"/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Effra"/>
        <scheme val="none"/>
      </font>
      <fill>
        <patternFill patternType="solid">
          <fgColor indexed="64"/>
          <bgColor rgb="FF60979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2D0D6"/>
        </left>
        <right style="thin">
          <color rgb="FFC2D0D6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D2E3E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D2E3E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/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164" formatCode="0.0"/>
      <fill>
        <patternFill patternType="solid">
          <fgColor indexed="64"/>
          <bgColor rgb="FFD2E3E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D2E3E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D2E3E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numFmt numFmtId="3" formatCode="#,##0"/>
      <fill>
        <patternFill patternType="solid">
          <fgColor indexed="64"/>
          <bgColor rgb="FFD2E3E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2D0D6"/>
        </left>
        <right style="thin">
          <color rgb="FFC2D0D6"/>
        </right>
        <top style="thin">
          <color rgb="FFC2D0D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2938"/>
        <name val="Effra"/>
        <scheme val="none"/>
      </font>
      <fill>
        <patternFill patternType="solid">
          <fgColor indexed="64"/>
          <bgColor rgb="FFEFF4F6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2D0D6"/>
        </right>
        <top style="thin">
          <color rgb="FFC2D0D6"/>
        </top>
        <bottom/>
        <vertical/>
        <horizontal/>
      </border>
    </dxf>
    <dxf>
      <border outline="0">
        <top style="thin">
          <color rgb="FFC2D0D6"/>
        </top>
      </border>
    </dxf>
    <dxf>
      <border outline="0">
        <bottom style="thin">
          <color rgb="FFC2D0D6"/>
        </bottom>
      </border>
    </dxf>
    <dxf>
      <border outline="0">
        <left style="thin">
          <color rgb="FFC2D0D6"/>
        </left>
        <right style="thin">
          <color rgb="FFC2D0D6"/>
        </right>
        <top style="thin">
          <color rgb="FFC2D0D6"/>
        </top>
        <bottom style="thin">
          <color rgb="FFC2D0D6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5BD9C-3E2A-4FCA-AD91-B0C878A0639F}" name="جدول_الورش" displayName="جدول_الورش" ref="A2:AC3" totalsRowShown="0" headerRowDxfId="34" dataDxfId="35" headerRowBorderDxfId="59" tableBorderDxfId="60" totalsRowBorderDxfId="58">
  <autoFilter ref="A2:AC3" xr:uid="{CBE5BD9C-3E2A-4FCA-AD91-B0C878A0639F}"/>
  <tableColumns count="29">
    <tableColumn id="1" xr3:uid="{3F0330AD-307C-4DBA-8AF3-CEDC59ED8831}" name="اسم الورشة" dataDxfId="57"/>
    <tableColumn id="2" xr3:uid="{454824D8-548E-4585-88B2-E048DC77A853}" name="نوع الورشة" dataDxfId="56"/>
    <tableColumn id="3" xr3:uid="{304CB576-AB57-4BDD-BACE-D9913BDEF73F}" name="المجال" dataDxfId="55"/>
    <tableColumn id="4" xr3:uid="{CDDF9915-64E5-4ABE-9502-5BEA0E06B46B}" name="الحالة" dataDxfId="54"/>
    <tableColumn id="5" xr3:uid="{69E79B29-2DB3-4091-9F87-2E70A316E3E2}" name="المنطقة" dataDxfId="53"/>
    <tableColumn id="6" xr3:uid="{F8C9BF28-E46E-47E9-9669-B85D60AEFE2C}" name="المدينة" dataDxfId="28"/>
    <tableColumn id="7" xr3:uid="{7F175564-E381-4BC2-8336-F5F1F2F6B735}" name="تاريخ البداية" dataDxfId="27"/>
    <tableColumn id="8" xr3:uid="{F8FF6A1A-4713-407C-9723-8232BD6CECC1}" name="تاريخ النهاية" dataDxfId="25"/>
    <tableColumn id="9" xr3:uid="{D96D4152-CB83-4E96-909E-6D4D55F5E31A}" name="المدرب" dataDxfId="26"/>
    <tableColumn id="10" xr3:uid="{297C6A77-7757-4E6A-8B5C-DDFAB0D5A064}" name="جنسية المدرب" dataDxfId="52"/>
    <tableColumn id="11" xr3:uid="{DDF6D849-5C27-43C8-97E8-CF89754ED03B}" name="نبذة عن المدرب" dataDxfId="51"/>
    <tableColumn id="12" xr3:uid="{18D4E928-6F46-4870-A800-CEE20C01DBA3}" name="المستوى" dataDxfId="50"/>
    <tableColumn id="13" xr3:uid="{3DC31F10-5A6C-4000-AF63-776998BE27CF}" name="اللغة" dataDxfId="49"/>
    <tableColumn id="14" xr3:uid="{DBC4CAE2-5E85-4C1A-BA65-51E90EB7B06E}" name="طريقة الحضور" dataDxfId="48"/>
    <tableColumn id="15" xr3:uid="{7652148D-0010-471E-B4D8-6B3EA2BF00A9}" name="اسم الموقع" dataDxfId="47"/>
    <tableColumn id="16" xr3:uid="{618F6FAB-0A12-45FE-BADB-E2B993FB8961}" name="رابط الموقع" dataDxfId="46"/>
    <tableColumn id="17" xr3:uid="{13A73BDF-4B21-45C3-A756-725CC27CBD2B}" name="منصة الاجتماع" dataDxfId="45"/>
    <tableColumn id="18" xr3:uid="{91A8C577-00D1-4E9C-A91C-275CDCB10DFF}" name="رابط الاجتماع" dataDxfId="44"/>
    <tableColumn id="19" xr3:uid="{DDCCF595-7AEF-4959-A468-D980655C40A8}" name="السعة" dataDxfId="32"/>
    <tableColumn id="20" xr3:uid="{28EBD10B-CB40-4BE3-88BD-D187E8AA8D08}" name="عدد المسجلين" dataDxfId="31"/>
    <tableColumn id="21" xr3:uid="{222F0065-C730-4FA4-A219-AF7A617415A4}" name="الوصف" dataDxfId="43"/>
    <tableColumn id="22" xr3:uid="{EB23AC52-74EC-4A5E-8952-E8C4EBAF1BF1}" name="الأهداف" dataDxfId="33"/>
    <tableColumn id="26" xr3:uid="{E92626EC-5B30-4042-939E-9BE36439085E}" name="تاريخ الإعلان" dataDxfId="42"/>
    <tableColumn id="27" xr3:uid="{6CB6DBD7-6437-4603-B8E7-B99A6F1317C2}" name="تاريخ آخر تحديث" dataDxfId="41"/>
    <tableColumn id="28" xr3:uid="{395D307A-8F16-4978-96C6-833D4AE61425}" name="إجمالي التسجيلات" dataDxfId="40">
      <calculatedColumnFormula>الإحصائيات!D3</calculatedColumnFormula>
    </tableColumn>
    <tableColumn id="29" xr3:uid="{3C7EEC65-AC93-4213-959F-09A8EBCFA6AA}" name="المقبولون" dataDxfId="39">
      <calculatedColumnFormula>الإحصائيات!G3</calculatedColumnFormula>
    </tableColumn>
    <tableColumn id="30" xr3:uid="{EAA070DB-7D97-4AC3-B815-EB4BCE3A709C}" name="الحضور الفعلي" dataDxfId="38">
      <calculatedColumnFormula>الإحصائيات!M3</calculatedColumnFormula>
    </tableColumn>
    <tableColumn id="31" xr3:uid="{9539B97C-06A2-4FA0-A37F-4223BC7B8E52}" name="متوسط التقييم" dataDxfId="37">
      <calculatedColumnFormula>الإحصائيات!S3</calculatedColumnFormula>
    </tableColumn>
    <tableColumn id="32" xr3:uid="{54C60CCF-BFCB-4709-B41C-1580FD9068FC}" name="إجمالي عدد التقييمات" dataDxfId="36">
      <calculatedColumnFormula>الإحصائيات!T3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37FF5-FA87-41C9-9539-DAF34632E093}" name="جدول_الإحصائيات" displayName="جدول_الإحصائيات" ref="A2:T3" totalsRowShown="0" headerRowDxfId="0" dataDxfId="1" headerRowBorderDxfId="23" tableBorderDxfId="24" totalsRowBorderDxfId="22">
  <autoFilter ref="A2:T3" xr:uid="{FB037FF5-FA87-41C9-9539-DAF34632E093}"/>
  <tableColumns count="20">
    <tableColumn id="1" xr3:uid="{BAEA90AA-BB22-4FC9-A0B7-D6AD83E1A3BA}" name="اسم الورشة" dataDxfId="21">
      <calculatedColumnFormula>الورشات!A3</calculatedColumnFormula>
    </tableColumn>
    <tableColumn id="2" xr3:uid="{5737511B-5541-45AD-BF56-E57D50D6FF13}" name="التسجيلات - ذكور" dataDxfId="20"/>
    <tableColumn id="3" xr3:uid="{6C4EE892-DC58-4882-A66F-1329458397C6}" name="التسجيلات - إناث" dataDxfId="19"/>
    <tableColumn id="4" xr3:uid="{C78EB1D4-3188-4C2F-83A3-EEA3215ADBEC}" name="التسجيلات - الإجمالي" dataDxfId="18">
      <calculatedColumnFormula>B3+C3</calculatedColumnFormula>
    </tableColumn>
    <tableColumn id="5" xr3:uid="{7F9B94A2-F955-4A37-88E6-07627C81D487}" name="المقبولون - ذكور" dataDxfId="17"/>
    <tableColumn id="6" xr3:uid="{8775C347-0E79-448B-B216-184A85873C54}" name="المقبولون - إناث" dataDxfId="16"/>
    <tableColumn id="7" xr3:uid="{BC5A943E-941A-4ABA-9F1F-84F21DAFD00A}" name="المقبولون - الإجمالي" dataDxfId="15">
      <calculatedColumnFormula>E3+F3</calculatedColumnFormula>
    </tableColumn>
    <tableColumn id="8" xr3:uid="{EC31C7AF-591B-4F74-B493-E2D4D4FB6C1D}" name="الحضور - ذكور" dataDxfId="14"/>
    <tableColumn id="9" xr3:uid="{18DFEEC6-50E7-4532-B6A2-22C550ED2578}" name="الحضور - إناث" dataDxfId="13"/>
    <tableColumn id="10" xr3:uid="{1AF48F51-EC33-4CCF-880D-9C2944EE8978}" name="الحضور - الإجمالي" dataDxfId="12">
      <calculatedColumnFormula>H3+I3</calculatedColumnFormula>
    </tableColumn>
    <tableColumn id="11" xr3:uid="{1F0A340B-C2DF-47C6-88DC-64D778B460AA}" name="الحضور الفعلي - ذكور" dataDxfId="11"/>
    <tableColumn id="12" xr3:uid="{28EF1E28-10D1-4049-B332-1382137165C8}" name="الحضور الفعلي - إناث" dataDxfId="10"/>
    <tableColumn id="13" xr3:uid="{A86375AC-2E12-40CB-92A8-22D7C815DE7C}" name="الحضور الفعلي - الإجمالي" dataDxfId="9">
      <calculatedColumnFormula>K3+L3</calculatedColumnFormula>
    </tableColumn>
    <tableColumn id="14" xr3:uid="{D2111BD1-FD90-43C4-9A02-1517D0572BA9}" name="5 نجوم" dataDxfId="8"/>
    <tableColumn id="15" xr3:uid="{E18470B5-EF07-4523-B850-0DF8F248C2DF}" name="4 نجوم" dataDxfId="7"/>
    <tableColumn id="16" xr3:uid="{0260A309-A769-4304-8A11-43BC02E0CBAB}" name="3 نجوم" dataDxfId="6"/>
    <tableColumn id="17" xr3:uid="{6CB8AEF3-0D9E-4E65-91EF-1163F8B0C555}" name="2 نجوم" dataDxfId="5"/>
    <tableColumn id="18" xr3:uid="{108BC6D0-970A-470B-982A-12426DF5A917}" name="1 نجمة" dataDxfId="4"/>
    <tableColumn id="19" xr3:uid="{BDF677BF-BB3D-480E-88F2-9851716C7307}" name="متوسط التقييم" dataDxfId="3">
      <calculatedColumnFormula>(5*N3+4*O3+3*P3+2*Q3+R3)/T3</calculatedColumnFormula>
    </tableColumn>
    <tableColumn id="20" xr3:uid="{A95E03B0-84D9-433D-AD0D-9B1A3D651007}" name="إجمالي عدد التقييمات" dataDxfId="2">
      <calculatedColumnFormula>SUM(N3:R3)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F2938"/>
      </a:dk1>
      <a:lt1>
        <a:sysClr val="window" lastClr="FFFFFF"/>
      </a:lt1>
      <a:dk2>
        <a:srgbClr val="0E2837"/>
      </a:dk2>
      <a:lt2>
        <a:srgbClr val="F9F9F9"/>
      </a:lt2>
      <a:accent1>
        <a:srgbClr val="EB593D"/>
      </a:accent1>
      <a:accent2>
        <a:srgbClr val="6E1946"/>
      </a:accent2>
      <a:accent3>
        <a:srgbClr val="B51A33"/>
      </a:accent3>
      <a:accent4>
        <a:srgbClr val="FF961A"/>
      </a:accent4>
      <a:accent5>
        <a:srgbClr val="FAC29C"/>
      </a:accent5>
      <a:accent6>
        <a:srgbClr val="91B9B4"/>
      </a:accent6>
      <a:hlink>
        <a:srgbClr val="91B9B4"/>
      </a:hlink>
      <a:folHlink>
        <a:srgbClr val="EB593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2552BD-BEE6-45AC-A8A5-0836B0C6C34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dbf396b-5f50-4dab-8ed5-06641052e38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422C-20F6-47FB-99CB-20036C09DBF2}">
  <dimension ref="A1:AC3"/>
  <sheetViews>
    <sheetView showGridLines="0" rightToLeft="1" topLeftCell="C1" workbookViewId="0">
      <pane ySplit="2" topLeftCell="A3" activePane="bottomLeft" state="frozen"/>
      <selection pane="bottomLeft" activeCell="G3" sqref="G3"/>
    </sheetView>
  </sheetViews>
  <sheetFormatPr defaultRowHeight="15.5" x14ac:dyDescent="0.35"/>
  <cols>
    <col min="1" max="1" width="31.6640625" customWidth="1"/>
    <col min="2" max="10" width="18.33203125" customWidth="1"/>
    <col min="11" max="11" width="38.33203125" customWidth="1"/>
    <col min="12" max="15" width="18.33203125" customWidth="1"/>
    <col min="16" max="16" width="29.75" bestFit="1" customWidth="1"/>
    <col min="17" max="17" width="18.33203125" customWidth="1"/>
    <col min="18" max="18" width="25" customWidth="1"/>
    <col min="19" max="20" width="18.33203125" customWidth="1"/>
    <col min="21" max="21" width="43.33203125" customWidth="1"/>
    <col min="22" max="22" width="36.6640625" customWidth="1"/>
    <col min="23" max="24" width="18.33203125" customWidth="1"/>
    <col min="25" max="25" width="17.6640625" bestFit="1" customWidth="1"/>
    <col min="26" max="26" width="18.33203125" customWidth="1"/>
    <col min="27" max="27" width="14.83203125" bestFit="1" customWidth="1"/>
    <col min="28" max="29" width="18.33203125" customWidth="1"/>
  </cols>
  <sheetData>
    <row r="1" spans="1:29" ht="34" customHeight="1" x14ac:dyDescent="0.35">
      <c r="A1" s="12" t="s">
        <v>340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ht="25.5" customHeight="1" x14ac:dyDescent="0.35">
      <c r="A2" s="13" t="s">
        <v>0</v>
      </c>
      <c r="B2" s="14" t="s">
        <v>2</v>
      </c>
      <c r="C2" s="14" t="s">
        <v>4</v>
      </c>
      <c r="D2" s="14" t="s">
        <v>6</v>
      </c>
      <c r="E2" s="14" t="s">
        <v>8</v>
      </c>
      <c r="F2" s="14" t="s">
        <v>10</v>
      </c>
      <c r="G2" s="14" t="s">
        <v>12</v>
      </c>
      <c r="H2" s="14" t="s">
        <v>14</v>
      </c>
      <c r="I2" s="14" t="s">
        <v>16</v>
      </c>
      <c r="J2" s="14" t="s">
        <v>18</v>
      </c>
      <c r="K2" s="14" t="s">
        <v>20</v>
      </c>
      <c r="L2" s="14" t="s">
        <v>22</v>
      </c>
      <c r="M2" s="14" t="s">
        <v>24</v>
      </c>
      <c r="N2" s="14" t="s">
        <v>26</v>
      </c>
      <c r="O2" s="14" t="s">
        <v>28</v>
      </c>
      <c r="P2" s="14" t="s">
        <v>30</v>
      </c>
      <c r="Q2" s="14" t="s">
        <v>32</v>
      </c>
      <c r="R2" s="14" t="s">
        <v>34</v>
      </c>
      <c r="S2" s="14" t="s">
        <v>35</v>
      </c>
      <c r="T2" s="14" t="s">
        <v>36</v>
      </c>
      <c r="U2" s="14" t="s">
        <v>37</v>
      </c>
      <c r="V2" s="14" t="s">
        <v>39</v>
      </c>
      <c r="W2" s="14" t="s">
        <v>41</v>
      </c>
      <c r="X2" s="14" t="s">
        <v>42</v>
      </c>
      <c r="Y2" s="15" t="s">
        <v>43</v>
      </c>
      <c r="Z2" s="15" t="s">
        <v>44</v>
      </c>
      <c r="AA2" s="15" t="s">
        <v>45</v>
      </c>
      <c r="AB2" s="15" t="s">
        <v>51</v>
      </c>
      <c r="AC2" s="16" t="s">
        <v>52</v>
      </c>
    </row>
    <row r="3" spans="1:29" ht="36.5" customHeight="1" x14ac:dyDescent="0.35">
      <c r="A3" s="17" t="s">
        <v>1</v>
      </c>
      <c r="B3" s="18" t="s">
        <v>3</v>
      </c>
      <c r="C3" s="18" t="s">
        <v>5</v>
      </c>
      <c r="D3" s="18" t="s">
        <v>7</v>
      </c>
      <c r="E3" s="18" t="s">
        <v>9</v>
      </c>
      <c r="F3" s="18" t="s">
        <v>11</v>
      </c>
      <c r="G3" s="24" t="s">
        <v>13</v>
      </c>
      <c r="H3" s="24" t="s">
        <v>15</v>
      </c>
      <c r="I3" s="18" t="s">
        <v>17</v>
      </c>
      <c r="J3" s="18" t="s">
        <v>19</v>
      </c>
      <c r="K3" s="18" t="s">
        <v>21</v>
      </c>
      <c r="L3" s="18" t="s">
        <v>23</v>
      </c>
      <c r="M3" s="18" t="s">
        <v>25</v>
      </c>
      <c r="N3" s="18" t="s">
        <v>27</v>
      </c>
      <c r="O3" s="18" t="s">
        <v>29</v>
      </c>
      <c r="P3" s="18" t="s">
        <v>31</v>
      </c>
      <c r="Q3" s="18" t="s">
        <v>33</v>
      </c>
      <c r="R3" s="18" t="s">
        <v>33</v>
      </c>
      <c r="S3" s="19">
        <v>88</v>
      </c>
      <c r="T3" s="19">
        <v>102</v>
      </c>
      <c r="U3" s="18" t="s">
        <v>38</v>
      </c>
      <c r="V3" s="23" t="s">
        <v>40</v>
      </c>
      <c r="W3" s="18" t="s">
        <v>13</v>
      </c>
      <c r="X3" s="18" t="s">
        <v>15</v>
      </c>
      <c r="Y3" s="20">
        <f>الإحصائيات!D3</f>
        <v>102</v>
      </c>
      <c r="Z3" s="20">
        <f>الإحصائيات!G3</f>
        <v>88</v>
      </c>
      <c r="AA3" s="20">
        <f>الإحصائيات!M3</f>
        <v>16</v>
      </c>
      <c r="AB3" s="21">
        <f>الإحصائيات!S3</f>
        <v>4.215686274509804</v>
      </c>
      <c r="AC3" s="22">
        <f>الإحصائيات!T3</f>
        <v>51</v>
      </c>
    </row>
  </sheetData>
  <mergeCells count="1">
    <mergeCell ref="A1:A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"/>
  <sheetViews>
    <sheetView showGridLines="0" rightToLeft="1" tabSelected="1" zoomScale="70" zoomScaleNormal="70" workbookViewId="0">
      <pane ySplit="2" topLeftCell="A3" activePane="bottomLeft" state="frozen"/>
      <selection pane="bottomLeft" activeCell="F8" sqref="F8"/>
    </sheetView>
  </sheetViews>
  <sheetFormatPr defaultRowHeight="19.5" x14ac:dyDescent="0.7"/>
  <cols>
    <col min="1" max="1" width="31.6640625" style="1" customWidth="1"/>
    <col min="2" max="12" width="17.5" style="1" customWidth="1"/>
    <col min="13" max="13" width="19.58203125" style="1" customWidth="1"/>
    <col min="14" max="20" width="17.5" style="1" customWidth="1"/>
    <col min="21" max="16384" width="8.6640625" style="1"/>
  </cols>
  <sheetData>
    <row r="1" spans="1:26" ht="34" customHeight="1" x14ac:dyDescent="0.7">
      <c r="A1" s="12" t="s">
        <v>353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/>
      <c r="V1"/>
      <c r="W1"/>
      <c r="X1"/>
      <c r="Y1"/>
      <c r="Z1"/>
    </row>
    <row r="2" spans="1:26" ht="44" customHeight="1" x14ac:dyDescent="0.7">
      <c r="A2" s="31" t="s">
        <v>0</v>
      </c>
      <c r="B2" s="32" t="s">
        <v>341</v>
      </c>
      <c r="C2" s="32" t="s">
        <v>342</v>
      </c>
      <c r="D2" s="32" t="s">
        <v>343</v>
      </c>
      <c r="E2" s="32" t="s">
        <v>344</v>
      </c>
      <c r="F2" s="32" t="s">
        <v>345</v>
      </c>
      <c r="G2" s="32" t="s">
        <v>346</v>
      </c>
      <c r="H2" s="32" t="s">
        <v>347</v>
      </c>
      <c r="I2" s="32" t="s">
        <v>348</v>
      </c>
      <c r="J2" s="32" t="s">
        <v>349</v>
      </c>
      <c r="K2" s="32" t="s">
        <v>350</v>
      </c>
      <c r="L2" s="32" t="s">
        <v>351</v>
      </c>
      <c r="M2" s="32" t="s">
        <v>352</v>
      </c>
      <c r="N2" s="30" t="s">
        <v>46</v>
      </c>
      <c r="O2" s="30" t="s">
        <v>47</v>
      </c>
      <c r="P2" s="30" t="s">
        <v>48</v>
      </c>
      <c r="Q2" s="30" t="s">
        <v>49</v>
      </c>
      <c r="R2" s="30" t="s">
        <v>50</v>
      </c>
      <c r="S2" s="33" t="s">
        <v>51</v>
      </c>
      <c r="T2" s="34" t="s">
        <v>52</v>
      </c>
      <c r="U2"/>
      <c r="V2"/>
      <c r="W2"/>
      <c r="X2"/>
      <c r="Y2"/>
      <c r="Z2"/>
    </row>
    <row r="3" spans="1:26" ht="34" customHeight="1" x14ac:dyDescent="0.7">
      <c r="A3" s="25" t="str">
        <f>الورشات!A3</f>
        <v>ورشة كتابة الفيلم القصير</v>
      </c>
      <c r="B3" s="26">
        <v>29</v>
      </c>
      <c r="C3" s="26">
        <v>73</v>
      </c>
      <c r="D3" s="27">
        <f>B3+C3</f>
        <v>102</v>
      </c>
      <c r="E3" s="26">
        <v>23</v>
      </c>
      <c r="F3" s="26">
        <v>65</v>
      </c>
      <c r="G3" s="27">
        <f>E3+F3</f>
        <v>88</v>
      </c>
      <c r="H3" s="26">
        <v>6</v>
      </c>
      <c r="I3" s="26">
        <v>10</v>
      </c>
      <c r="J3" s="27">
        <f>H3+I3</f>
        <v>16</v>
      </c>
      <c r="K3" s="26">
        <v>6</v>
      </c>
      <c r="L3" s="26">
        <v>10</v>
      </c>
      <c r="M3" s="27">
        <f>K3+L3</f>
        <v>16</v>
      </c>
      <c r="N3" s="26">
        <v>25</v>
      </c>
      <c r="O3" s="26">
        <v>15</v>
      </c>
      <c r="P3" s="26">
        <v>8</v>
      </c>
      <c r="Q3" s="26">
        <v>3</v>
      </c>
      <c r="R3" s="26">
        <v>0</v>
      </c>
      <c r="S3" s="28">
        <f>(5*N3+4*O3+3*P3+2*Q3+R3)/T3</f>
        <v>4.215686274509804</v>
      </c>
      <c r="T3" s="29">
        <f>SUM(N3:R3)</f>
        <v>51</v>
      </c>
      <c r="U3"/>
      <c r="V3"/>
      <c r="W3"/>
      <c r="X3"/>
      <c r="Y3"/>
      <c r="Z3"/>
    </row>
    <row r="4" spans="1:26" x14ac:dyDescent="0.7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7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7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x14ac:dyDescent="0.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7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7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7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7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7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7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7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7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7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7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7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7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7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7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7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7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7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7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7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7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7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7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7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x14ac:dyDescent="0.7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x14ac:dyDescent="0.7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x14ac:dyDescent="0.7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7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x14ac:dyDescent="0.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x14ac:dyDescent="0.7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x14ac:dyDescent="0.7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x14ac:dyDescent="0.7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x14ac:dyDescent="0.7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x14ac:dyDescent="0.7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x14ac:dyDescent="0.7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x14ac:dyDescent="0.7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7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7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x14ac:dyDescent="0.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x14ac:dyDescent="0.7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7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7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</sheetData>
  <mergeCells count="1">
    <mergeCell ref="A1:T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"/>
  <sheetViews>
    <sheetView showGridLines="0" rightToLeft="1" zoomScale="70" zoomScaleNormal="70" workbookViewId="0">
      <selection sqref="A1:H1"/>
    </sheetView>
  </sheetViews>
  <sheetFormatPr defaultRowHeight="19.5" x14ac:dyDescent="0.7"/>
  <cols>
    <col min="1" max="1" width="22" style="1" customWidth="1"/>
    <col min="2" max="2" width="16" style="1" customWidth="1"/>
    <col min="3" max="3" width="26" style="1" customWidth="1"/>
    <col min="4" max="4" width="18" style="1" customWidth="1"/>
    <col min="5" max="7" width="13" style="1" customWidth="1"/>
    <col min="8" max="8" width="14" style="1" customWidth="1"/>
    <col min="9" max="16384" width="8.6640625" style="1"/>
  </cols>
  <sheetData>
    <row r="1" spans="1:8" ht="34" customHeight="1" x14ac:dyDescent="0.7">
      <c r="A1" s="11" t="s">
        <v>1</v>
      </c>
      <c r="B1" s="11"/>
      <c r="C1" s="11"/>
      <c r="D1" s="11"/>
      <c r="E1" s="11"/>
      <c r="F1" s="11"/>
      <c r="G1" s="11"/>
      <c r="H1" s="11"/>
    </row>
    <row r="2" spans="1:8" ht="26" customHeight="1" x14ac:dyDescent="0.7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</row>
    <row r="3" spans="1:8" x14ac:dyDescent="0.7">
      <c r="A3" s="3" t="s">
        <v>61</v>
      </c>
      <c r="B3" s="4" t="s">
        <v>62</v>
      </c>
      <c r="C3" s="4" t="s">
        <v>63</v>
      </c>
      <c r="D3" s="4" t="s">
        <v>64</v>
      </c>
      <c r="E3" s="5">
        <v>3</v>
      </c>
      <c r="F3" s="5">
        <v>0</v>
      </c>
      <c r="G3" s="6">
        <f t="shared" ref="G3:G34" si="0">IFERROR(E3/(E3+F3),0)</f>
        <v>1</v>
      </c>
      <c r="H3" s="5" t="s">
        <v>65</v>
      </c>
    </row>
    <row r="4" spans="1:8" x14ac:dyDescent="0.7">
      <c r="A4" s="7" t="s">
        <v>66</v>
      </c>
      <c r="B4" s="8" t="s">
        <v>67</v>
      </c>
      <c r="C4" s="8" t="s">
        <v>68</v>
      </c>
      <c r="D4" s="8" t="s">
        <v>64</v>
      </c>
      <c r="E4" s="9">
        <v>3</v>
      </c>
      <c r="F4" s="9">
        <v>0</v>
      </c>
      <c r="G4" s="10">
        <f t="shared" si="0"/>
        <v>1</v>
      </c>
      <c r="H4" s="9" t="s">
        <v>65</v>
      </c>
    </row>
    <row r="5" spans="1:8" x14ac:dyDescent="0.7">
      <c r="A5" s="3" t="s">
        <v>69</v>
      </c>
      <c r="B5" s="4" t="s">
        <v>70</v>
      </c>
      <c r="C5" s="4" t="s">
        <v>71</v>
      </c>
      <c r="D5" s="4" t="s">
        <v>72</v>
      </c>
      <c r="E5" s="5">
        <v>3</v>
      </c>
      <c r="F5" s="5">
        <v>0</v>
      </c>
      <c r="G5" s="6">
        <f t="shared" si="0"/>
        <v>1</v>
      </c>
      <c r="H5" s="5" t="s">
        <v>65</v>
      </c>
    </row>
    <row r="6" spans="1:8" x14ac:dyDescent="0.7">
      <c r="A6" s="7" t="s">
        <v>73</v>
      </c>
      <c r="B6" s="8" t="s">
        <v>74</v>
      </c>
      <c r="C6" s="8" t="s">
        <v>75</v>
      </c>
      <c r="D6" s="8" t="s">
        <v>64</v>
      </c>
      <c r="E6" s="9">
        <v>3</v>
      </c>
      <c r="F6" s="9">
        <v>0</v>
      </c>
      <c r="G6" s="10">
        <f t="shared" si="0"/>
        <v>1</v>
      </c>
      <c r="H6" s="9" t="s">
        <v>65</v>
      </c>
    </row>
    <row r="7" spans="1:8" x14ac:dyDescent="0.7">
      <c r="A7" s="3" t="s">
        <v>76</v>
      </c>
      <c r="B7" s="4" t="s">
        <v>77</v>
      </c>
      <c r="C7" s="4" t="s">
        <v>78</v>
      </c>
      <c r="D7" s="4" t="s">
        <v>64</v>
      </c>
      <c r="E7" s="5">
        <v>3</v>
      </c>
      <c r="F7" s="5">
        <v>0</v>
      </c>
      <c r="G7" s="6">
        <f t="shared" si="0"/>
        <v>1</v>
      </c>
      <c r="H7" s="5" t="s">
        <v>65</v>
      </c>
    </row>
    <row r="8" spans="1:8" x14ac:dyDescent="0.7">
      <c r="A8" s="7" t="s">
        <v>79</v>
      </c>
      <c r="B8" s="8" t="s">
        <v>80</v>
      </c>
      <c r="C8" s="8" t="s">
        <v>81</v>
      </c>
      <c r="D8" s="8" t="s">
        <v>82</v>
      </c>
      <c r="E8" s="9">
        <v>3</v>
      </c>
      <c r="F8" s="9">
        <v>0</v>
      </c>
      <c r="G8" s="10">
        <f t="shared" si="0"/>
        <v>1</v>
      </c>
      <c r="H8" s="9" t="s">
        <v>65</v>
      </c>
    </row>
    <row r="9" spans="1:8" x14ac:dyDescent="0.7">
      <c r="A9" s="3" t="s">
        <v>83</v>
      </c>
      <c r="B9" s="4" t="s">
        <v>84</v>
      </c>
      <c r="C9" s="4" t="s">
        <v>85</v>
      </c>
      <c r="D9" s="4" t="s">
        <v>82</v>
      </c>
      <c r="E9" s="5">
        <v>3</v>
      </c>
      <c r="F9" s="5">
        <v>0</v>
      </c>
      <c r="G9" s="6">
        <f t="shared" si="0"/>
        <v>1</v>
      </c>
      <c r="H9" s="5" t="s">
        <v>65</v>
      </c>
    </row>
    <row r="10" spans="1:8" x14ac:dyDescent="0.7">
      <c r="A10" s="7" t="s">
        <v>86</v>
      </c>
      <c r="B10" s="8" t="s">
        <v>87</v>
      </c>
      <c r="C10" s="8" t="s">
        <v>88</v>
      </c>
      <c r="D10" s="8" t="s">
        <v>89</v>
      </c>
      <c r="E10" s="9">
        <v>3</v>
      </c>
      <c r="F10" s="9">
        <v>0</v>
      </c>
      <c r="G10" s="10">
        <f t="shared" si="0"/>
        <v>1</v>
      </c>
      <c r="H10" s="9" t="s">
        <v>65</v>
      </c>
    </row>
    <row r="11" spans="1:8" x14ac:dyDescent="0.7">
      <c r="A11" s="3" t="s">
        <v>91</v>
      </c>
      <c r="B11" s="4" t="s">
        <v>92</v>
      </c>
      <c r="C11" s="4" t="s">
        <v>93</v>
      </c>
      <c r="D11" s="4" t="s">
        <v>64</v>
      </c>
      <c r="E11" s="5">
        <v>3</v>
      </c>
      <c r="F11" s="5">
        <v>0</v>
      </c>
      <c r="G11" s="6">
        <f t="shared" si="0"/>
        <v>1</v>
      </c>
      <c r="H11" s="5" t="s">
        <v>65</v>
      </c>
    </row>
    <row r="12" spans="1:8" x14ac:dyDescent="0.7">
      <c r="A12" s="7" t="s">
        <v>94</v>
      </c>
      <c r="B12" s="8" t="s">
        <v>95</v>
      </c>
      <c r="C12" s="8" t="s">
        <v>96</v>
      </c>
      <c r="D12" s="8" t="s">
        <v>97</v>
      </c>
      <c r="E12" s="9">
        <v>3</v>
      </c>
      <c r="F12" s="9">
        <v>0</v>
      </c>
      <c r="G12" s="10">
        <f t="shared" si="0"/>
        <v>1</v>
      </c>
      <c r="H12" s="9" t="s">
        <v>65</v>
      </c>
    </row>
    <row r="13" spans="1:8" x14ac:dyDescent="0.7">
      <c r="A13" s="3" t="s">
        <v>98</v>
      </c>
      <c r="B13" s="4" t="s">
        <v>99</v>
      </c>
      <c r="C13" s="4" t="s">
        <v>100</v>
      </c>
      <c r="D13" s="4" t="s">
        <v>64</v>
      </c>
      <c r="E13" s="5">
        <v>3</v>
      </c>
      <c r="F13" s="5">
        <v>0</v>
      </c>
      <c r="G13" s="6">
        <f t="shared" si="0"/>
        <v>1</v>
      </c>
      <c r="H13" s="5" t="s">
        <v>65</v>
      </c>
    </row>
    <row r="14" spans="1:8" x14ac:dyDescent="0.7">
      <c r="A14" s="7" t="s">
        <v>101</v>
      </c>
      <c r="B14" s="8" t="s">
        <v>102</v>
      </c>
      <c r="C14" s="8" t="s">
        <v>103</v>
      </c>
      <c r="D14" s="8" t="s">
        <v>64</v>
      </c>
      <c r="E14" s="9">
        <v>3</v>
      </c>
      <c r="F14" s="9">
        <v>0</v>
      </c>
      <c r="G14" s="10">
        <f t="shared" si="0"/>
        <v>1</v>
      </c>
      <c r="H14" s="9" t="s">
        <v>65</v>
      </c>
    </row>
    <row r="15" spans="1:8" x14ac:dyDescent="0.7">
      <c r="A15" s="3" t="s">
        <v>104</v>
      </c>
      <c r="B15" s="4" t="s">
        <v>105</v>
      </c>
      <c r="C15" s="4" t="s">
        <v>106</v>
      </c>
      <c r="D15" s="4" t="s">
        <v>107</v>
      </c>
      <c r="E15" s="5">
        <v>3</v>
      </c>
      <c r="F15" s="5">
        <v>0</v>
      </c>
      <c r="G15" s="6">
        <f t="shared" si="0"/>
        <v>1</v>
      </c>
      <c r="H15" s="5" t="s">
        <v>65</v>
      </c>
    </row>
    <row r="16" spans="1:8" x14ac:dyDescent="0.7">
      <c r="A16" s="7" t="s">
        <v>108</v>
      </c>
      <c r="B16" s="8" t="s">
        <v>109</v>
      </c>
      <c r="C16" s="8" t="s">
        <v>110</v>
      </c>
      <c r="D16" s="8" t="s">
        <v>64</v>
      </c>
      <c r="E16" s="9">
        <v>3</v>
      </c>
      <c r="F16" s="9">
        <v>0</v>
      </c>
      <c r="G16" s="10">
        <f t="shared" si="0"/>
        <v>1</v>
      </c>
      <c r="H16" s="9" t="s">
        <v>65</v>
      </c>
    </row>
    <row r="17" spans="1:8" x14ac:dyDescent="0.7">
      <c r="A17" s="3" t="s">
        <v>111</v>
      </c>
      <c r="B17" s="4" t="s">
        <v>112</v>
      </c>
      <c r="C17" s="4" t="s">
        <v>113</v>
      </c>
      <c r="D17" s="4" t="s">
        <v>114</v>
      </c>
      <c r="E17" s="5">
        <v>3</v>
      </c>
      <c r="F17" s="5">
        <v>0</v>
      </c>
      <c r="G17" s="6">
        <f t="shared" si="0"/>
        <v>1</v>
      </c>
      <c r="H17" s="5" t="s">
        <v>65</v>
      </c>
    </row>
    <row r="18" spans="1:8" x14ac:dyDescent="0.7">
      <c r="A18" s="7" t="s">
        <v>115</v>
      </c>
      <c r="B18" s="8" t="s">
        <v>116</v>
      </c>
      <c r="C18" s="8" t="s">
        <v>117</v>
      </c>
      <c r="D18" s="8" t="s">
        <v>118</v>
      </c>
      <c r="E18" s="9">
        <v>3</v>
      </c>
      <c r="F18" s="9">
        <v>0</v>
      </c>
      <c r="G18" s="10">
        <f t="shared" si="0"/>
        <v>1</v>
      </c>
      <c r="H18" s="9" t="s">
        <v>65</v>
      </c>
    </row>
    <row r="19" spans="1:8" x14ac:dyDescent="0.7">
      <c r="A19" s="3" t="s">
        <v>119</v>
      </c>
      <c r="B19" s="4" t="s">
        <v>120</v>
      </c>
      <c r="C19" s="4" t="s">
        <v>121</v>
      </c>
      <c r="D19" s="4" t="s">
        <v>64</v>
      </c>
      <c r="E19" s="5">
        <v>0</v>
      </c>
      <c r="F19" s="5">
        <v>3</v>
      </c>
      <c r="G19" s="6">
        <f t="shared" si="0"/>
        <v>0</v>
      </c>
      <c r="H19" s="5" t="s">
        <v>90</v>
      </c>
    </row>
    <row r="20" spans="1:8" x14ac:dyDescent="0.7">
      <c r="A20" s="7" t="s">
        <v>122</v>
      </c>
      <c r="B20" s="8" t="s">
        <v>123</v>
      </c>
      <c r="C20" s="8" t="s">
        <v>124</v>
      </c>
      <c r="D20" s="8" t="s">
        <v>125</v>
      </c>
      <c r="E20" s="9">
        <v>0</v>
      </c>
      <c r="F20" s="9">
        <v>3</v>
      </c>
      <c r="G20" s="10">
        <f t="shared" si="0"/>
        <v>0</v>
      </c>
      <c r="H20" s="9" t="s">
        <v>90</v>
      </c>
    </row>
    <row r="21" spans="1:8" x14ac:dyDescent="0.7">
      <c r="A21" s="3" t="s">
        <v>126</v>
      </c>
      <c r="B21" s="4" t="s">
        <v>127</v>
      </c>
      <c r="C21" s="4" t="s">
        <v>128</v>
      </c>
      <c r="D21" s="4" t="s">
        <v>129</v>
      </c>
      <c r="E21" s="5">
        <v>0</v>
      </c>
      <c r="F21" s="5">
        <v>3</v>
      </c>
      <c r="G21" s="6">
        <f t="shared" si="0"/>
        <v>0</v>
      </c>
      <c r="H21" s="5" t="s">
        <v>90</v>
      </c>
    </row>
    <row r="22" spans="1:8" x14ac:dyDescent="0.7">
      <c r="A22" s="7" t="s">
        <v>130</v>
      </c>
      <c r="B22" s="8" t="s">
        <v>131</v>
      </c>
      <c r="C22" s="8" t="s">
        <v>132</v>
      </c>
      <c r="D22" s="8" t="s">
        <v>133</v>
      </c>
      <c r="E22" s="9">
        <v>0</v>
      </c>
      <c r="F22" s="9">
        <v>3</v>
      </c>
      <c r="G22" s="10">
        <f t="shared" si="0"/>
        <v>0</v>
      </c>
      <c r="H22" s="9" t="s">
        <v>90</v>
      </c>
    </row>
    <row r="23" spans="1:8" x14ac:dyDescent="0.7">
      <c r="A23" s="3" t="s">
        <v>134</v>
      </c>
      <c r="B23" s="4" t="s">
        <v>135</v>
      </c>
      <c r="C23" s="4" t="s">
        <v>136</v>
      </c>
      <c r="D23" s="4" t="s">
        <v>133</v>
      </c>
      <c r="E23" s="5">
        <v>0</v>
      </c>
      <c r="F23" s="5">
        <v>3</v>
      </c>
      <c r="G23" s="6">
        <f t="shared" si="0"/>
        <v>0</v>
      </c>
      <c r="H23" s="5" t="s">
        <v>90</v>
      </c>
    </row>
    <row r="24" spans="1:8" x14ac:dyDescent="0.7">
      <c r="A24" s="7" t="s">
        <v>137</v>
      </c>
      <c r="B24" s="8" t="s">
        <v>138</v>
      </c>
      <c r="C24" s="8" t="s">
        <v>139</v>
      </c>
      <c r="D24" s="8" t="s">
        <v>82</v>
      </c>
      <c r="E24" s="9">
        <v>0</v>
      </c>
      <c r="F24" s="9">
        <v>3</v>
      </c>
      <c r="G24" s="10">
        <f t="shared" si="0"/>
        <v>0</v>
      </c>
      <c r="H24" s="9" t="s">
        <v>90</v>
      </c>
    </row>
    <row r="25" spans="1:8" x14ac:dyDescent="0.7">
      <c r="A25" s="3" t="s">
        <v>140</v>
      </c>
      <c r="B25" s="4" t="s">
        <v>141</v>
      </c>
      <c r="C25" s="4" t="s">
        <v>142</v>
      </c>
      <c r="D25" s="4" t="s">
        <v>97</v>
      </c>
      <c r="E25" s="5">
        <v>0</v>
      </c>
      <c r="F25" s="5">
        <v>3</v>
      </c>
      <c r="G25" s="6">
        <f t="shared" si="0"/>
        <v>0</v>
      </c>
      <c r="H25" s="5" t="s">
        <v>90</v>
      </c>
    </row>
    <row r="26" spans="1:8" x14ac:dyDescent="0.7">
      <c r="A26" s="7" t="s">
        <v>143</v>
      </c>
      <c r="B26" s="8" t="s">
        <v>144</v>
      </c>
      <c r="C26" s="8" t="s">
        <v>145</v>
      </c>
      <c r="D26" s="8" t="s">
        <v>64</v>
      </c>
      <c r="E26" s="9">
        <v>0</v>
      </c>
      <c r="F26" s="9">
        <v>3</v>
      </c>
      <c r="G26" s="10">
        <f t="shared" si="0"/>
        <v>0</v>
      </c>
      <c r="H26" s="9" t="s">
        <v>90</v>
      </c>
    </row>
    <row r="27" spans="1:8" x14ac:dyDescent="0.7">
      <c r="A27" s="3" t="s">
        <v>146</v>
      </c>
      <c r="B27" s="4" t="s">
        <v>147</v>
      </c>
      <c r="C27" s="4" t="s">
        <v>148</v>
      </c>
      <c r="D27" s="4" t="s">
        <v>64</v>
      </c>
      <c r="E27" s="5">
        <v>0</v>
      </c>
      <c r="F27" s="5">
        <v>3</v>
      </c>
      <c r="G27" s="6">
        <f t="shared" si="0"/>
        <v>0</v>
      </c>
      <c r="H27" s="5" t="s">
        <v>90</v>
      </c>
    </row>
    <row r="28" spans="1:8" x14ac:dyDescent="0.7">
      <c r="A28" s="7" t="s">
        <v>149</v>
      </c>
      <c r="B28" s="8" t="s">
        <v>150</v>
      </c>
      <c r="C28" s="8" t="s">
        <v>151</v>
      </c>
      <c r="D28" s="8" t="s">
        <v>64</v>
      </c>
      <c r="E28" s="9">
        <v>0</v>
      </c>
      <c r="F28" s="9">
        <v>3</v>
      </c>
      <c r="G28" s="10">
        <f t="shared" si="0"/>
        <v>0</v>
      </c>
      <c r="H28" s="9" t="s">
        <v>90</v>
      </c>
    </row>
    <row r="29" spans="1:8" x14ac:dyDescent="0.7">
      <c r="A29" s="3" t="s">
        <v>152</v>
      </c>
      <c r="B29" s="4" t="s">
        <v>153</v>
      </c>
      <c r="C29" s="4" t="s">
        <v>154</v>
      </c>
      <c r="D29" s="4" t="s">
        <v>64</v>
      </c>
      <c r="E29" s="5">
        <v>0</v>
      </c>
      <c r="F29" s="5">
        <v>3</v>
      </c>
      <c r="G29" s="6">
        <f t="shared" si="0"/>
        <v>0</v>
      </c>
      <c r="H29" s="5" t="s">
        <v>90</v>
      </c>
    </row>
    <row r="30" spans="1:8" x14ac:dyDescent="0.7">
      <c r="A30" s="7" t="s">
        <v>155</v>
      </c>
      <c r="B30" s="8" t="s">
        <v>156</v>
      </c>
      <c r="C30" s="8" t="s">
        <v>157</v>
      </c>
      <c r="D30" s="8" t="s">
        <v>64</v>
      </c>
      <c r="E30" s="9">
        <v>0</v>
      </c>
      <c r="F30" s="9">
        <v>3</v>
      </c>
      <c r="G30" s="10">
        <f t="shared" si="0"/>
        <v>0</v>
      </c>
      <c r="H30" s="9" t="s">
        <v>90</v>
      </c>
    </row>
    <row r="31" spans="1:8" x14ac:dyDescent="0.7">
      <c r="A31" s="3" t="s">
        <v>158</v>
      </c>
      <c r="B31" s="4" t="s">
        <v>159</v>
      </c>
      <c r="C31" s="4" t="s">
        <v>160</v>
      </c>
      <c r="D31" s="4" t="s">
        <v>64</v>
      </c>
      <c r="E31" s="5">
        <v>0</v>
      </c>
      <c r="F31" s="5">
        <v>3</v>
      </c>
      <c r="G31" s="6">
        <f t="shared" si="0"/>
        <v>0</v>
      </c>
      <c r="H31" s="5" t="s">
        <v>90</v>
      </c>
    </row>
    <row r="32" spans="1:8" x14ac:dyDescent="0.7">
      <c r="A32" s="7" t="s">
        <v>161</v>
      </c>
      <c r="B32" s="8" t="s">
        <v>162</v>
      </c>
      <c r="C32" s="8" t="s">
        <v>163</v>
      </c>
      <c r="D32" s="8" t="s">
        <v>64</v>
      </c>
      <c r="E32" s="9">
        <v>0</v>
      </c>
      <c r="F32" s="9">
        <v>3</v>
      </c>
      <c r="G32" s="10">
        <f t="shared" si="0"/>
        <v>0</v>
      </c>
      <c r="H32" s="9" t="s">
        <v>90</v>
      </c>
    </row>
    <row r="33" spans="1:8" x14ac:dyDescent="0.7">
      <c r="A33" s="3" t="s">
        <v>164</v>
      </c>
      <c r="B33" s="4" t="s">
        <v>165</v>
      </c>
      <c r="C33" s="4" t="s">
        <v>166</v>
      </c>
      <c r="D33" s="4" t="s">
        <v>64</v>
      </c>
      <c r="E33" s="5">
        <v>0</v>
      </c>
      <c r="F33" s="5">
        <v>3</v>
      </c>
      <c r="G33" s="6">
        <f t="shared" si="0"/>
        <v>0</v>
      </c>
      <c r="H33" s="5" t="s">
        <v>90</v>
      </c>
    </row>
    <row r="34" spans="1:8" x14ac:dyDescent="0.7">
      <c r="A34" s="7" t="s">
        <v>167</v>
      </c>
      <c r="B34" s="8" t="s">
        <v>168</v>
      </c>
      <c r="C34" s="8" t="s">
        <v>169</v>
      </c>
      <c r="D34" s="8" t="s">
        <v>64</v>
      </c>
      <c r="E34" s="9">
        <v>0</v>
      </c>
      <c r="F34" s="9">
        <v>3</v>
      </c>
      <c r="G34" s="10">
        <f t="shared" si="0"/>
        <v>0</v>
      </c>
      <c r="H34" s="9" t="s">
        <v>90</v>
      </c>
    </row>
    <row r="35" spans="1:8" x14ac:dyDescent="0.7">
      <c r="A35" s="3" t="s">
        <v>170</v>
      </c>
      <c r="B35" s="4" t="s">
        <v>171</v>
      </c>
      <c r="C35" s="4" t="s">
        <v>172</v>
      </c>
      <c r="D35" s="4" t="s">
        <v>72</v>
      </c>
      <c r="E35" s="5">
        <v>0</v>
      </c>
      <c r="F35" s="5">
        <v>3</v>
      </c>
      <c r="G35" s="6">
        <f t="shared" ref="G35:G66" si="1">IFERROR(E35/(E35+F35),0)</f>
        <v>0</v>
      </c>
      <c r="H35" s="5" t="s">
        <v>90</v>
      </c>
    </row>
    <row r="36" spans="1:8" x14ac:dyDescent="0.7">
      <c r="A36" s="7" t="s">
        <v>173</v>
      </c>
      <c r="B36" s="8" t="s">
        <v>174</v>
      </c>
      <c r="C36" s="8" t="s">
        <v>175</v>
      </c>
      <c r="D36" s="8" t="s">
        <v>72</v>
      </c>
      <c r="E36" s="9">
        <v>0</v>
      </c>
      <c r="F36" s="9">
        <v>3</v>
      </c>
      <c r="G36" s="10">
        <f t="shared" si="1"/>
        <v>0</v>
      </c>
      <c r="H36" s="9" t="s">
        <v>90</v>
      </c>
    </row>
    <row r="37" spans="1:8" x14ac:dyDescent="0.7">
      <c r="A37" s="3" t="s">
        <v>176</v>
      </c>
      <c r="B37" s="4" t="s">
        <v>177</v>
      </c>
      <c r="C37" s="4" t="s">
        <v>178</v>
      </c>
      <c r="D37" s="4" t="s">
        <v>97</v>
      </c>
      <c r="E37" s="5">
        <v>0</v>
      </c>
      <c r="F37" s="5">
        <v>3</v>
      </c>
      <c r="G37" s="6">
        <f t="shared" si="1"/>
        <v>0</v>
      </c>
      <c r="H37" s="5" t="s">
        <v>90</v>
      </c>
    </row>
    <row r="38" spans="1:8" x14ac:dyDescent="0.7">
      <c r="A38" s="7" t="s">
        <v>179</v>
      </c>
      <c r="B38" s="8" t="s">
        <v>180</v>
      </c>
      <c r="C38" s="8" t="s">
        <v>181</v>
      </c>
      <c r="D38" s="8" t="s">
        <v>64</v>
      </c>
      <c r="E38" s="9">
        <v>0</v>
      </c>
      <c r="F38" s="9">
        <v>3</v>
      </c>
      <c r="G38" s="10">
        <f t="shared" si="1"/>
        <v>0</v>
      </c>
      <c r="H38" s="9" t="s">
        <v>90</v>
      </c>
    </row>
    <row r="39" spans="1:8" x14ac:dyDescent="0.7">
      <c r="A39" s="3" t="s">
        <v>182</v>
      </c>
      <c r="B39" s="4" t="s">
        <v>183</v>
      </c>
      <c r="C39" s="4" t="s">
        <v>184</v>
      </c>
      <c r="D39" s="4" t="s">
        <v>64</v>
      </c>
      <c r="E39" s="5">
        <v>0</v>
      </c>
      <c r="F39" s="5">
        <v>3</v>
      </c>
      <c r="G39" s="6">
        <f t="shared" si="1"/>
        <v>0</v>
      </c>
      <c r="H39" s="5" t="s">
        <v>90</v>
      </c>
    </row>
    <row r="40" spans="1:8" x14ac:dyDescent="0.7">
      <c r="A40" s="7" t="s">
        <v>185</v>
      </c>
      <c r="B40" s="8" t="s">
        <v>186</v>
      </c>
      <c r="C40" s="8" t="s">
        <v>187</v>
      </c>
      <c r="D40" s="8" t="s">
        <v>64</v>
      </c>
      <c r="E40" s="9">
        <v>0</v>
      </c>
      <c r="F40" s="9">
        <v>3</v>
      </c>
      <c r="G40" s="10">
        <f t="shared" si="1"/>
        <v>0</v>
      </c>
      <c r="H40" s="9" t="s">
        <v>90</v>
      </c>
    </row>
    <row r="41" spans="1:8" x14ac:dyDescent="0.7">
      <c r="A41" s="3" t="s">
        <v>188</v>
      </c>
      <c r="B41" s="4" t="s">
        <v>189</v>
      </c>
      <c r="C41" s="4" t="s">
        <v>190</v>
      </c>
      <c r="D41" s="4" t="s">
        <v>64</v>
      </c>
      <c r="E41" s="5">
        <v>0</v>
      </c>
      <c r="F41" s="5">
        <v>3</v>
      </c>
      <c r="G41" s="6">
        <f t="shared" si="1"/>
        <v>0</v>
      </c>
      <c r="H41" s="5" t="s">
        <v>90</v>
      </c>
    </row>
    <row r="42" spans="1:8" x14ac:dyDescent="0.7">
      <c r="A42" s="7" t="s">
        <v>191</v>
      </c>
      <c r="B42" s="8" t="s">
        <v>192</v>
      </c>
      <c r="C42" s="8" t="s">
        <v>193</v>
      </c>
      <c r="D42" s="8" t="s">
        <v>97</v>
      </c>
      <c r="E42" s="9">
        <v>0</v>
      </c>
      <c r="F42" s="9">
        <v>3</v>
      </c>
      <c r="G42" s="10">
        <f t="shared" si="1"/>
        <v>0</v>
      </c>
      <c r="H42" s="9" t="s">
        <v>90</v>
      </c>
    </row>
    <row r="43" spans="1:8" x14ac:dyDescent="0.7">
      <c r="A43" s="3" t="s">
        <v>194</v>
      </c>
      <c r="B43" s="4" t="s">
        <v>195</v>
      </c>
      <c r="C43" s="4" t="s">
        <v>196</v>
      </c>
      <c r="D43" s="4" t="s">
        <v>97</v>
      </c>
      <c r="E43" s="5">
        <v>0</v>
      </c>
      <c r="F43" s="5">
        <v>3</v>
      </c>
      <c r="G43" s="6">
        <f t="shared" si="1"/>
        <v>0</v>
      </c>
      <c r="H43" s="5" t="s">
        <v>90</v>
      </c>
    </row>
    <row r="44" spans="1:8" x14ac:dyDescent="0.7">
      <c r="A44" s="7" t="s">
        <v>197</v>
      </c>
      <c r="B44" s="8" t="s">
        <v>198</v>
      </c>
      <c r="C44" s="8" t="s">
        <v>199</v>
      </c>
      <c r="D44" s="8" t="s">
        <v>200</v>
      </c>
      <c r="E44" s="9">
        <v>0</v>
      </c>
      <c r="F44" s="9">
        <v>3</v>
      </c>
      <c r="G44" s="10">
        <f t="shared" si="1"/>
        <v>0</v>
      </c>
      <c r="H44" s="9" t="s">
        <v>90</v>
      </c>
    </row>
    <row r="45" spans="1:8" x14ac:dyDescent="0.7">
      <c r="A45" s="3" t="s">
        <v>201</v>
      </c>
      <c r="B45" s="4" t="s">
        <v>202</v>
      </c>
      <c r="C45" s="4" t="s">
        <v>203</v>
      </c>
      <c r="D45" s="4" t="s">
        <v>72</v>
      </c>
      <c r="E45" s="5">
        <v>0</v>
      </c>
      <c r="F45" s="5">
        <v>3</v>
      </c>
      <c r="G45" s="6">
        <f t="shared" si="1"/>
        <v>0</v>
      </c>
      <c r="H45" s="5" t="s">
        <v>90</v>
      </c>
    </row>
    <row r="46" spans="1:8" x14ac:dyDescent="0.7">
      <c r="A46" s="7" t="s">
        <v>204</v>
      </c>
      <c r="B46" s="8" t="s">
        <v>205</v>
      </c>
      <c r="C46" s="8" t="s">
        <v>206</v>
      </c>
      <c r="D46" s="8" t="s">
        <v>64</v>
      </c>
      <c r="E46" s="9">
        <v>0</v>
      </c>
      <c r="F46" s="9">
        <v>3</v>
      </c>
      <c r="G46" s="10">
        <f t="shared" si="1"/>
        <v>0</v>
      </c>
      <c r="H46" s="9" t="s">
        <v>90</v>
      </c>
    </row>
    <row r="47" spans="1:8" x14ac:dyDescent="0.7">
      <c r="A47" s="3" t="s">
        <v>207</v>
      </c>
      <c r="B47" s="4" t="s">
        <v>208</v>
      </c>
      <c r="C47" s="4" t="s">
        <v>209</v>
      </c>
      <c r="D47" s="4" t="s">
        <v>97</v>
      </c>
      <c r="E47" s="5">
        <v>0</v>
      </c>
      <c r="F47" s="5">
        <v>3</v>
      </c>
      <c r="G47" s="6">
        <f t="shared" si="1"/>
        <v>0</v>
      </c>
      <c r="H47" s="5" t="s">
        <v>90</v>
      </c>
    </row>
    <row r="48" spans="1:8" x14ac:dyDescent="0.7">
      <c r="A48" s="7" t="s">
        <v>210</v>
      </c>
      <c r="B48" s="8" t="s">
        <v>211</v>
      </c>
      <c r="C48" s="8" t="s">
        <v>212</v>
      </c>
      <c r="D48" s="8" t="s">
        <v>64</v>
      </c>
      <c r="E48" s="9">
        <v>0</v>
      </c>
      <c r="F48" s="9">
        <v>3</v>
      </c>
      <c r="G48" s="10">
        <f t="shared" si="1"/>
        <v>0</v>
      </c>
      <c r="H48" s="9" t="s">
        <v>90</v>
      </c>
    </row>
    <row r="49" spans="1:8" x14ac:dyDescent="0.7">
      <c r="A49" s="3" t="s">
        <v>213</v>
      </c>
      <c r="B49" s="4" t="s">
        <v>214</v>
      </c>
      <c r="C49" s="4" t="s">
        <v>215</v>
      </c>
      <c r="D49" s="4" t="s">
        <v>64</v>
      </c>
      <c r="E49" s="5">
        <v>0</v>
      </c>
      <c r="F49" s="5">
        <v>3</v>
      </c>
      <c r="G49" s="6">
        <f t="shared" si="1"/>
        <v>0</v>
      </c>
      <c r="H49" s="5" t="s">
        <v>90</v>
      </c>
    </row>
    <row r="50" spans="1:8" x14ac:dyDescent="0.7">
      <c r="A50" s="7" t="s">
        <v>216</v>
      </c>
      <c r="B50" s="8" t="s">
        <v>217</v>
      </c>
      <c r="C50" s="8" t="s">
        <v>218</v>
      </c>
      <c r="D50" s="8" t="s">
        <v>64</v>
      </c>
      <c r="E50" s="9">
        <v>0</v>
      </c>
      <c r="F50" s="9">
        <v>3</v>
      </c>
      <c r="G50" s="10">
        <f t="shared" si="1"/>
        <v>0</v>
      </c>
      <c r="H50" s="9" t="s">
        <v>90</v>
      </c>
    </row>
    <row r="51" spans="1:8" x14ac:dyDescent="0.7">
      <c r="A51" s="3" t="s">
        <v>219</v>
      </c>
      <c r="B51" s="4" t="s">
        <v>220</v>
      </c>
      <c r="C51" s="4" t="s">
        <v>221</v>
      </c>
      <c r="D51" s="4" t="s">
        <v>64</v>
      </c>
      <c r="E51" s="5">
        <v>0</v>
      </c>
      <c r="F51" s="5">
        <v>3</v>
      </c>
      <c r="G51" s="6">
        <f t="shared" si="1"/>
        <v>0</v>
      </c>
      <c r="H51" s="5" t="s">
        <v>90</v>
      </c>
    </row>
    <row r="52" spans="1:8" x14ac:dyDescent="0.7">
      <c r="A52" s="7" t="s">
        <v>222</v>
      </c>
      <c r="B52" s="8" t="s">
        <v>223</v>
      </c>
      <c r="C52" s="8" t="s">
        <v>224</v>
      </c>
      <c r="D52" s="8" t="s">
        <v>72</v>
      </c>
      <c r="E52" s="9">
        <v>0</v>
      </c>
      <c r="F52" s="9">
        <v>3</v>
      </c>
      <c r="G52" s="10">
        <f t="shared" si="1"/>
        <v>0</v>
      </c>
      <c r="H52" s="9" t="s">
        <v>90</v>
      </c>
    </row>
    <row r="53" spans="1:8" x14ac:dyDescent="0.7">
      <c r="A53" s="3" t="s">
        <v>225</v>
      </c>
      <c r="B53" s="4" t="s">
        <v>226</v>
      </c>
      <c r="C53" s="4" t="s">
        <v>227</v>
      </c>
      <c r="D53" s="4" t="s">
        <v>64</v>
      </c>
      <c r="E53" s="5">
        <v>0</v>
      </c>
      <c r="F53" s="5">
        <v>3</v>
      </c>
      <c r="G53" s="6">
        <f t="shared" si="1"/>
        <v>0</v>
      </c>
      <c r="H53" s="5" t="s">
        <v>90</v>
      </c>
    </row>
    <row r="54" spans="1:8" x14ac:dyDescent="0.7">
      <c r="A54" s="7" t="s">
        <v>228</v>
      </c>
      <c r="B54" s="8" t="s">
        <v>229</v>
      </c>
      <c r="C54" s="8" t="s">
        <v>230</v>
      </c>
      <c r="D54" s="8" t="s">
        <v>97</v>
      </c>
      <c r="E54" s="9">
        <v>0</v>
      </c>
      <c r="F54" s="9">
        <v>3</v>
      </c>
      <c r="G54" s="10">
        <f t="shared" si="1"/>
        <v>0</v>
      </c>
      <c r="H54" s="9" t="s">
        <v>90</v>
      </c>
    </row>
    <row r="55" spans="1:8" x14ac:dyDescent="0.7">
      <c r="A55" s="3" t="s">
        <v>231</v>
      </c>
      <c r="B55" s="4" t="s">
        <v>232</v>
      </c>
      <c r="C55" s="4" t="s">
        <v>233</v>
      </c>
      <c r="D55" s="4" t="s">
        <v>64</v>
      </c>
      <c r="E55" s="5">
        <v>0</v>
      </c>
      <c r="F55" s="5">
        <v>3</v>
      </c>
      <c r="G55" s="6">
        <f t="shared" si="1"/>
        <v>0</v>
      </c>
      <c r="H55" s="5" t="s">
        <v>90</v>
      </c>
    </row>
    <row r="56" spans="1:8" x14ac:dyDescent="0.7">
      <c r="A56" s="7" t="s">
        <v>234</v>
      </c>
      <c r="B56" s="8" t="s">
        <v>235</v>
      </c>
      <c r="C56" s="8" t="s">
        <v>236</v>
      </c>
      <c r="D56" s="8" t="s">
        <v>64</v>
      </c>
      <c r="E56" s="9">
        <v>0</v>
      </c>
      <c r="F56" s="9">
        <v>3</v>
      </c>
      <c r="G56" s="10">
        <f t="shared" si="1"/>
        <v>0</v>
      </c>
      <c r="H56" s="9" t="s">
        <v>90</v>
      </c>
    </row>
    <row r="57" spans="1:8" x14ac:dyDescent="0.7">
      <c r="A57" s="3" t="s">
        <v>237</v>
      </c>
      <c r="B57" s="4" t="s">
        <v>238</v>
      </c>
      <c r="C57" s="4" t="s">
        <v>239</v>
      </c>
      <c r="D57" s="4" t="s">
        <v>114</v>
      </c>
      <c r="E57" s="5">
        <v>0</v>
      </c>
      <c r="F57" s="5">
        <v>3</v>
      </c>
      <c r="G57" s="6">
        <f t="shared" si="1"/>
        <v>0</v>
      </c>
      <c r="H57" s="5" t="s">
        <v>90</v>
      </c>
    </row>
    <row r="58" spans="1:8" x14ac:dyDescent="0.7">
      <c r="A58" s="7" t="s">
        <v>240</v>
      </c>
      <c r="B58" s="8" t="s">
        <v>241</v>
      </c>
      <c r="C58" s="8" t="s">
        <v>242</v>
      </c>
      <c r="D58" s="8" t="s">
        <v>64</v>
      </c>
      <c r="E58" s="9">
        <v>0</v>
      </c>
      <c r="F58" s="9">
        <v>3</v>
      </c>
      <c r="G58" s="10">
        <f t="shared" si="1"/>
        <v>0</v>
      </c>
      <c r="H58" s="9" t="s">
        <v>90</v>
      </c>
    </row>
    <row r="59" spans="1:8" x14ac:dyDescent="0.7">
      <c r="A59" s="3" t="s">
        <v>243</v>
      </c>
      <c r="B59" s="4" t="s">
        <v>244</v>
      </c>
      <c r="C59" s="4" t="s">
        <v>245</v>
      </c>
      <c r="D59" s="4" t="s">
        <v>64</v>
      </c>
      <c r="E59" s="5">
        <v>0</v>
      </c>
      <c r="F59" s="5">
        <v>3</v>
      </c>
      <c r="G59" s="6">
        <f t="shared" si="1"/>
        <v>0</v>
      </c>
      <c r="H59" s="5" t="s">
        <v>90</v>
      </c>
    </row>
    <row r="60" spans="1:8" x14ac:dyDescent="0.7">
      <c r="A60" s="7" t="s">
        <v>246</v>
      </c>
      <c r="B60" s="8" t="s">
        <v>247</v>
      </c>
      <c r="C60" s="8" t="s">
        <v>248</v>
      </c>
      <c r="D60" s="8" t="s">
        <v>82</v>
      </c>
      <c r="E60" s="9">
        <v>0</v>
      </c>
      <c r="F60" s="9">
        <v>3</v>
      </c>
      <c r="G60" s="10">
        <f t="shared" si="1"/>
        <v>0</v>
      </c>
      <c r="H60" s="9" t="s">
        <v>90</v>
      </c>
    </row>
    <row r="61" spans="1:8" x14ac:dyDescent="0.7">
      <c r="A61" s="3" t="s">
        <v>249</v>
      </c>
      <c r="B61" s="4" t="s">
        <v>250</v>
      </c>
      <c r="C61" s="4" t="s">
        <v>251</v>
      </c>
      <c r="D61" s="4" t="s">
        <v>72</v>
      </c>
      <c r="E61" s="5">
        <v>0</v>
      </c>
      <c r="F61" s="5">
        <v>3</v>
      </c>
      <c r="G61" s="6">
        <f t="shared" si="1"/>
        <v>0</v>
      </c>
      <c r="H61" s="5" t="s">
        <v>90</v>
      </c>
    </row>
    <row r="62" spans="1:8" x14ac:dyDescent="0.7">
      <c r="A62" s="7" t="s">
        <v>252</v>
      </c>
      <c r="B62" s="8" t="s">
        <v>253</v>
      </c>
      <c r="C62" s="8" t="s">
        <v>254</v>
      </c>
      <c r="D62" s="8" t="s">
        <v>64</v>
      </c>
      <c r="E62" s="9">
        <v>0</v>
      </c>
      <c r="F62" s="9">
        <v>3</v>
      </c>
      <c r="G62" s="10">
        <f t="shared" si="1"/>
        <v>0</v>
      </c>
      <c r="H62" s="9" t="s">
        <v>90</v>
      </c>
    </row>
    <row r="63" spans="1:8" x14ac:dyDescent="0.7">
      <c r="A63" s="3" t="s">
        <v>255</v>
      </c>
      <c r="B63" s="4" t="s">
        <v>256</v>
      </c>
      <c r="C63" s="4" t="s">
        <v>257</v>
      </c>
      <c r="D63" s="4" t="s">
        <v>64</v>
      </c>
      <c r="E63" s="5">
        <v>0</v>
      </c>
      <c r="F63" s="5">
        <v>3</v>
      </c>
      <c r="G63" s="6">
        <f t="shared" si="1"/>
        <v>0</v>
      </c>
      <c r="H63" s="5" t="s">
        <v>90</v>
      </c>
    </row>
    <row r="64" spans="1:8" x14ac:dyDescent="0.7">
      <c r="A64" s="7" t="s">
        <v>258</v>
      </c>
      <c r="B64" s="8" t="s">
        <v>259</v>
      </c>
      <c r="C64" s="8" t="s">
        <v>260</v>
      </c>
      <c r="D64" s="8" t="s">
        <v>64</v>
      </c>
      <c r="E64" s="9">
        <v>0</v>
      </c>
      <c r="F64" s="9">
        <v>3</v>
      </c>
      <c r="G64" s="10">
        <f t="shared" si="1"/>
        <v>0</v>
      </c>
      <c r="H64" s="9" t="s">
        <v>90</v>
      </c>
    </row>
    <row r="65" spans="1:8" x14ac:dyDescent="0.7">
      <c r="A65" s="3" t="s">
        <v>261</v>
      </c>
      <c r="B65" s="4" t="s">
        <v>262</v>
      </c>
      <c r="C65" s="4" t="s">
        <v>263</v>
      </c>
      <c r="D65" s="4" t="s">
        <v>72</v>
      </c>
      <c r="E65" s="5">
        <v>0</v>
      </c>
      <c r="F65" s="5">
        <v>3</v>
      </c>
      <c r="G65" s="6">
        <f t="shared" si="1"/>
        <v>0</v>
      </c>
      <c r="H65" s="5" t="s">
        <v>90</v>
      </c>
    </row>
    <row r="66" spans="1:8" x14ac:dyDescent="0.7">
      <c r="A66" s="7" t="s">
        <v>264</v>
      </c>
      <c r="B66" s="8" t="s">
        <v>265</v>
      </c>
      <c r="C66" s="8" t="s">
        <v>266</v>
      </c>
      <c r="D66" s="8" t="s">
        <v>64</v>
      </c>
      <c r="E66" s="9">
        <v>0</v>
      </c>
      <c r="F66" s="9">
        <v>3</v>
      </c>
      <c r="G66" s="10">
        <f t="shared" si="1"/>
        <v>0</v>
      </c>
      <c r="H66" s="9" t="s">
        <v>90</v>
      </c>
    </row>
    <row r="67" spans="1:8" x14ac:dyDescent="0.7">
      <c r="A67" s="3" t="s">
        <v>267</v>
      </c>
      <c r="B67" s="4" t="s">
        <v>268</v>
      </c>
      <c r="C67" s="4" t="s">
        <v>269</v>
      </c>
      <c r="D67" s="4" t="s">
        <v>64</v>
      </c>
      <c r="E67" s="5">
        <v>0</v>
      </c>
      <c r="F67" s="5">
        <v>3</v>
      </c>
      <c r="G67" s="6">
        <f t="shared" ref="G67:G98" si="2">IFERROR(E67/(E67+F67),0)</f>
        <v>0</v>
      </c>
      <c r="H67" s="5" t="s">
        <v>90</v>
      </c>
    </row>
    <row r="68" spans="1:8" x14ac:dyDescent="0.7">
      <c r="A68" s="7" t="s">
        <v>270</v>
      </c>
      <c r="B68" s="8" t="s">
        <v>271</v>
      </c>
      <c r="C68" s="8" t="s">
        <v>272</v>
      </c>
      <c r="D68" s="8" t="s">
        <v>200</v>
      </c>
      <c r="E68" s="9">
        <v>0</v>
      </c>
      <c r="F68" s="9">
        <v>3</v>
      </c>
      <c r="G68" s="10">
        <f t="shared" si="2"/>
        <v>0</v>
      </c>
      <c r="H68" s="9" t="s">
        <v>90</v>
      </c>
    </row>
    <row r="69" spans="1:8" x14ac:dyDescent="0.7">
      <c r="A69" s="3" t="s">
        <v>273</v>
      </c>
      <c r="B69" s="4" t="s">
        <v>274</v>
      </c>
      <c r="C69" s="4" t="s">
        <v>275</v>
      </c>
      <c r="D69" s="4" t="s">
        <v>64</v>
      </c>
      <c r="E69" s="5">
        <v>0</v>
      </c>
      <c r="F69" s="5">
        <v>3</v>
      </c>
      <c r="G69" s="6">
        <f t="shared" si="2"/>
        <v>0</v>
      </c>
      <c r="H69" s="5" t="s">
        <v>90</v>
      </c>
    </row>
    <row r="70" spans="1:8" x14ac:dyDescent="0.7">
      <c r="A70" s="7" t="s">
        <v>276</v>
      </c>
      <c r="B70" s="8" t="s">
        <v>277</v>
      </c>
      <c r="C70" s="8" t="s">
        <v>278</v>
      </c>
      <c r="D70" s="8" t="s">
        <v>64</v>
      </c>
      <c r="E70" s="9">
        <v>0</v>
      </c>
      <c r="F70" s="9">
        <v>3</v>
      </c>
      <c r="G70" s="10">
        <f t="shared" si="2"/>
        <v>0</v>
      </c>
      <c r="H70" s="9" t="s">
        <v>90</v>
      </c>
    </row>
    <row r="71" spans="1:8" x14ac:dyDescent="0.7">
      <c r="A71" s="3" t="s">
        <v>279</v>
      </c>
      <c r="B71" s="4" t="s">
        <v>280</v>
      </c>
      <c r="C71" s="4" t="s">
        <v>281</v>
      </c>
      <c r="D71" s="4" t="s">
        <v>64</v>
      </c>
      <c r="E71" s="5">
        <v>0</v>
      </c>
      <c r="F71" s="5">
        <v>3</v>
      </c>
      <c r="G71" s="6">
        <f t="shared" si="2"/>
        <v>0</v>
      </c>
      <c r="H71" s="5" t="s">
        <v>90</v>
      </c>
    </row>
    <row r="72" spans="1:8" x14ac:dyDescent="0.7">
      <c r="A72" s="7" t="s">
        <v>282</v>
      </c>
      <c r="B72" s="8" t="s">
        <v>283</v>
      </c>
      <c r="C72" s="8" t="s">
        <v>284</v>
      </c>
      <c r="D72" s="8" t="s">
        <v>64</v>
      </c>
      <c r="E72" s="9">
        <v>0</v>
      </c>
      <c r="F72" s="9">
        <v>3</v>
      </c>
      <c r="G72" s="10">
        <f t="shared" si="2"/>
        <v>0</v>
      </c>
      <c r="H72" s="9" t="s">
        <v>90</v>
      </c>
    </row>
    <row r="73" spans="1:8" x14ac:dyDescent="0.7">
      <c r="A73" s="3" t="s">
        <v>285</v>
      </c>
      <c r="B73" s="4" t="s">
        <v>286</v>
      </c>
      <c r="C73" s="4" t="s">
        <v>287</v>
      </c>
      <c r="D73" s="4" t="s">
        <v>64</v>
      </c>
      <c r="E73" s="5">
        <v>0</v>
      </c>
      <c r="F73" s="5">
        <v>3</v>
      </c>
      <c r="G73" s="6">
        <f t="shared" si="2"/>
        <v>0</v>
      </c>
      <c r="H73" s="5" t="s">
        <v>90</v>
      </c>
    </row>
    <row r="74" spans="1:8" x14ac:dyDescent="0.7">
      <c r="A74" s="7" t="s">
        <v>288</v>
      </c>
      <c r="B74" s="8" t="s">
        <v>289</v>
      </c>
      <c r="C74" s="8" t="s">
        <v>290</v>
      </c>
      <c r="D74" s="8" t="s">
        <v>64</v>
      </c>
      <c r="E74" s="9">
        <v>0</v>
      </c>
      <c r="F74" s="9">
        <v>3</v>
      </c>
      <c r="G74" s="10">
        <f t="shared" si="2"/>
        <v>0</v>
      </c>
      <c r="H74" s="9" t="s">
        <v>90</v>
      </c>
    </row>
    <row r="75" spans="1:8" x14ac:dyDescent="0.7">
      <c r="A75" s="3" t="s">
        <v>291</v>
      </c>
      <c r="B75" s="4" t="s">
        <v>292</v>
      </c>
      <c r="C75" s="4" t="s">
        <v>293</v>
      </c>
      <c r="D75" s="4" t="s">
        <v>64</v>
      </c>
      <c r="E75" s="5">
        <v>0</v>
      </c>
      <c r="F75" s="5">
        <v>3</v>
      </c>
      <c r="G75" s="6">
        <f t="shared" si="2"/>
        <v>0</v>
      </c>
      <c r="H75" s="5" t="s">
        <v>90</v>
      </c>
    </row>
    <row r="76" spans="1:8" x14ac:dyDescent="0.7">
      <c r="A76" s="7" t="s">
        <v>294</v>
      </c>
      <c r="B76" s="8" t="s">
        <v>295</v>
      </c>
      <c r="C76" s="8" t="s">
        <v>296</v>
      </c>
      <c r="D76" s="8" t="s">
        <v>64</v>
      </c>
      <c r="E76" s="9">
        <v>0</v>
      </c>
      <c r="F76" s="9">
        <v>3</v>
      </c>
      <c r="G76" s="10">
        <f t="shared" si="2"/>
        <v>0</v>
      </c>
      <c r="H76" s="9" t="s">
        <v>90</v>
      </c>
    </row>
    <row r="77" spans="1:8" x14ac:dyDescent="0.7">
      <c r="A77" s="3" t="s">
        <v>297</v>
      </c>
      <c r="B77" s="4" t="s">
        <v>298</v>
      </c>
      <c r="C77" s="4" t="s">
        <v>299</v>
      </c>
      <c r="D77" s="4" t="s">
        <v>300</v>
      </c>
      <c r="E77" s="5">
        <v>0</v>
      </c>
      <c r="F77" s="5">
        <v>3</v>
      </c>
      <c r="G77" s="6">
        <f t="shared" si="2"/>
        <v>0</v>
      </c>
      <c r="H77" s="5" t="s">
        <v>90</v>
      </c>
    </row>
    <row r="78" spans="1:8" x14ac:dyDescent="0.7">
      <c r="A78" s="7" t="s">
        <v>301</v>
      </c>
      <c r="B78" s="8" t="s">
        <v>302</v>
      </c>
      <c r="C78" s="8" t="s">
        <v>303</v>
      </c>
      <c r="D78" s="8" t="s">
        <v>64</v>
      </c>
      <c r="E78" s="9">
        <v>0</v>
      </c>
      <c r="F78" s="9">
        <v>3</v>
      </c>
      <c r="G78" s="10">
        <f t="shared" si="2"/>
        <v>0</v>
      </c>
      <c r="H78" s="9" t="s">
        <v>90</v>
      </c>
    </row>
    <row r="79" spans="1:8" x14ac:dyDescent="0.7">
      <c r="A79" s="3" t="s">
        <v>304</v>
      </c>
      <c r="B79" s="4" t="s">
        <v>305</v>
      </c>
      <c r="C79" s="4" t="s">
        <v>306</v>
      </c>
      <c r="D79" s="4" t="s">
        <v>82</v>
      </c>
      <c r="E79" s="5">
        <v>0</v>
      </c>
      <c r="F79" s="5">
        <v>3</v>
      </c>
      <c r="G79" s="6">
        <f t="shared" si="2"/>
        <v>0</v>
      </c>
      <c r="H79" s="5" t="s">
        <v>90</v>
      </c>
    </row>
    <row r="80" spans="1:8" x14ac:dyDescent="0.7">
      <c r="A80" s="7" t="s">
        <v>307</v>
      </c>
      <c r="B80" s="8" t="s">
        <v>308</v>
      </c>
      <c r="C80" s="8" t="s">
        <v>309</v>
      </c>
      <c r="D80" s="8" t="s">
        <v>300</v>
      </c>
      <c r="E80" s="9">
        <v>0</v>
      </c>
      <c r="F80" s="9">
        <v>3</v>
      </c>
      <c r="G80" s="10">
        <f t="shared" si="2"/>
        <v>0</v>
      </c>
      <c r="H80" s="9" t="s">
        <v>90</v>
      </c>
    </row>
    <row r="81" spans="1:8" x14ac:dyDescent="0.7">
      <c r="A81" s="3" t="s">
        <v>310</v>
      </c>
      <c r="B81" s="4" t="s">
        <v>311</v>
      </c>
      <c r="C81" s="4" t="s">
        <v>312</v>
      </c>
      <c r="D81" s="4" t="s">
        <v>64</v>
      </c>
      <c r="E81" s="5">
        <v>0</v>
      </c>
      <c r="F81" s="5">
        <v>3</v>
      </c>
      <c r="G81" s="6">
        <f t="shared" si="2"/>
        <v>0</v>
      </c>
      <c r="H81" s="5" t="s">
        <v>90</v>
      </c>
    </row>
    <row r="82" spans="1:8" x14ac:dyDescent="0.7">
      <c r="A82" s="7" t="s">
        <v>313</v>
      </c>
      <c r="B82" s="8" t="s">
        <v>314</v>
      </c>
      <c r="C82" s="8" t="s">
        <v>315</v>
      </c>
      <c r="D82" s="8" t="s">
        <v>64</v>
      </c>
      <c r="E82" s="9">
        <v>0</v>
      </c>
      <c r="F82" s="9">
        <v>3</v>
      </c>
      <c r="G82" s="10">
        <f t="shared" si="2"/>
        <v>0</v>
      </c>
      <c r="H82" s="9" t="s">
        <v>90</v>
      </c>
    </row>
    <row r="83" spans="1:8" x14ac:dyDescent="0.7">
      <c r="A83" s="3" t="s">
        <v>316</v>
      </c>
      <c r="B83" s="4" t="s">
        <v>317</v>
      </c>
      <c r="C83" s="4" t="s">
        <v>318</v>
      </c>
      <c r="D83" s="4" t="s">
        <v>64</v>
      </c>
      <c r="E83" s="5">
        <v>0</v>
      </c>
      <c r="F83" s="5">
        <v>3</v>
      </c>
      <c r="G83" s="6">
        <f t="shared" si="2"/>
        <v>0</v>
      </c>
      <c r="H83" s="5" t="s">
        <v>90</v>
      </c>
    </row>
    <row r="84" spans="1:8" x14ac:dyDescent="0.7">
      <c r="A84" s="7" t="s">
        <v>319</v>
      </c>
      <c r="B84" s="8" t="s">
        <v>320</v>
      </c>
      <c r="C84" s="8" t="s">
        <v>321</v>
      </c>
      <c r="D84" s="8" t="s">
        <v>129</v>
      </c>
      <c r="E84" s="9">
        <v>0</v>
      </c>
      <c r="F84" s="9">
        <v>3</v>
      </c>
      <c r="G84" s="10">
        <f t="shared" si="2"/>
        <v>0</v>
      </c>
      <c r="H84" s="9" t="s">
        <v>90</v>
      </c>
    </row>
    <row r="85" spans="1:8" x14ac:dyDescent="0.7">
      <c r="A85" s="3" t="s">
        <v>322</v>
      </c>
      <c r="B85" s="4" t="s">
        <v>323</v>
      </c>
      <c r="C85" s="4" t="s">
        <v>324</v>
      </c>
      <c r="D85" s="4" t="s">
        <v>64</v>
      </c>
      <c r="E85" s="5">
        <v>0</v>
      </c>
      <c r="F85" s="5">
        <v>3</v>
      </c>
      <c r="G85" s="6">
        <f t="shared" si="2"/>
        <v>0</v>
      </c>
      <c r="H85" s="5" t="s">
        <v>90</v>
      </c>
    </row>
    <row r="86" spans="1:8" x14ac:dyDescent="0.7">
      <c r="A86" s="7" t="s">
        <v>325</v>
      </c>
      <c r="B86" s="8" t="s">
        <v>326</v>
      </c>
      <c r="C86" s="8" t="s">
        <v>327</v>
      </c>
      <c r="D86" s="8" t="s">
        <v>64</v>
      </c>
      <c r="E86" s="9">
        <v>0</v>
      </c>
      <c r="F86" s="9">
        <v>3</v>
      </c>
      <c r="G86" s="10">
        <f t="shared" si="2"/>
        <v>0</v>
      </c>
      <c r="H86" s="9" t="s">
        <v>90</v>
      </c>
    </row>
    <row r="87" spans="1:8" x14ac:dyDescent="0.7">
      <c r="A87" s="3" t="s">
        <v>328</v>
      </c>
      <c r="B87" s="4" t="s">
        <v>329</v>
      </c>
      <c r="C87" s="4" t="s">
        <v>330</v>
      </c>
      <c r="D87" s="4" t="s">
        <v>72</v>
      </c>
      <c r="E87" s="5">
        <v>0</v>
      </c>
      <c r="F87" s="5">
        <v>3</v>
      </c>
      <c r="G87" s="6">
        <f t="shared" si="2"/>
        <v>0</v>
      </c>
      <c r="H87" s="5" t="s">
        <v>90</v>
      </c>
    </row>
    <row r="88" spans="1:8" x14ac:dyDescent="0.7">
      <c r="A88" s="7" t="s">
        <v>331</v>
      </c>
      <c r="B88" s="8" t="s">
        <v>332</v>
      </c>
      <c r="C88" s="8" t="s">
        <v>333</v>
      </c>
      <c r="D88" s="8" t="s">
        <v>72</v>
      </c>
      <c r="E88" s="9">
        <v>0</v>
      </c>
      <c r="F88" s="9">
        <v>3</v>
      </c>
      <c r="G88" s="10">
        <f t="shared" si="2"/>
        <v>0</v>
      </c>
      <c r="H88" s="9" t="s">
        <v>90</v>
      </c>
    </row>
    <row r="89" spans="1:8" x14ac:dyDescent="0.7">
      <c r="A89" s="3" t="s">
        <v>334</v>
      </c>
      <c r="B89" s="4" t="s">
        <v>335</v>
      </c>
      <c r="C89" s="4" t="s">
        <v>336</v>
      </c>
      <c r="D89" s="4" t="s">
        <v>200</v>
      </c>
      <c r="E89" s="5">
        <v>0</v>
      </c>
      <c r="F89" s="5">
        <v>3</v>
      </c>
      <c r="G89" s="6">
        <f t="shared" si="2"/>
        <v>0</v>
      </c>
      <c r="H89" s="5" t="s">
        <v>90</v>
      </c>
    </row>
    <row r="90" spans="1:8" x14ac:dyDescent="0.7">
      <c r="A90" s="7" t="s">
        <v>337</v>
      </c>
      <c r="B90" s="8" t="s">
        <v>338</v>
      </c>
      <c r="C90" s="8" t="s">
        <v>339</v>
      </c>
      <c r="D90" s="8" t="s">
        <v>97</v>
      </c>
      <c r="E90" s="9">
        <v>0</v>
      </c>
      <c r="F90" s="9">
        <v>3</v>
      </c>
      <c r="G90" s="10">
        <f t="shared" si="2"/>
        <v>0</v>
      </c>
      <c r="H90" s="9" t="s">
        <v>90</v>
      </c>
    </row>
  </sheetData>
  <mergeCells count="1">
    <mergeCell ref="A1:H1"/>
  </mergeCells>
  <conditionalFormatting sqref="H3:H90">
    <cfRule type="containsText" dxfId="30" priority="1" operator="containsText" text="نعم">
      <formula>NOT(ISERROR(SEARCH("نعم",H3)))</formula>
    </cfRule>
    <cfRule type="containsText" dxfId="29" priority="2" operator="containsText" text="لا">
      <formula>NOT(ISERROR(SEARCH("لا",H3)))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الورشات</vt:lpstr>
      <vt:lpstr>الإحصائيات</vt:lpstr>
      <vt:lpstr>المشاركين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Bniali</dc:creator>
  <cp:lastModifiedBy>Sultan</cp:lastModifiedBy>
  <dcterms:created xsi:type="dcterms:W3CDTF">2026-07-22T09:35:02Z</dcterms:created>
  <dcterms:modified xsi:type="dcterms:W3CDTF">2026-08-02T11:41:32Z</dcterms:modified>
</cp:coreProperties>
</file>