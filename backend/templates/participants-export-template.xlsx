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ltan Bniali\Downloads\"/>
    </mc:Choice>
  </mc:AlternateContent>
  <xr:revisionPtr revIDLastSave="0" documentId="8_{83C79DB9-FD92-4128-A677-BBE1A0DBD6F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المشاركين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7" i="2" l="1"/>
  <c r="T56" i="2"/>
  <c r="T55" i="2"/>
  <c r="T52" i="2"/>
  <c r="T51" i="2"/>
  <c r="T48" i="2"/>
  <c r="T47" i="2"/>
  <c r="T46" i="2"/>
  <c r="T43" i="2"/>
  <c r="T42" i="2"/>
  <c r="N5" i="2"/>
  <c r="J5" i="2"/>
  <c r="J6" i="2" s="1"/>
  <c r="F5" i="2"/>
  <c r="F6" i="2" s="1"/>
  <c r="B5" i="2"/>
  <c r="N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tc={116D289C-3CD5-4EF1-A810-7827243F8DD4}</author>
  </authors>
  <commentList>
    <comment ref="D1" authorId="0" shapeId="0" xr:uid="{116D289C-3CD5-4EF1-A810-7827243F8DD4}">
      <text>
        <t>[Threaded comment]
Your version of Excel allows you to read this threaded comment; however, any edits to it will get removed if the file is opened in a newer version of Excel. Learn more: https://go.microsoft.com/fwlink/?linkid=870924
Comment:
    عمود مُشتق: الجنس مُستنتَج آليًا من الاسم الأول (لا يوجد عمود جنس في البيانات الأصلية). قد تكون بعض الأسماء المحايدة/الأجنبية غير دقيقة.</t>
      </text>
    </comment>
  </commentList>
</comments>
</file>

<file path=xl/sharedStrings.xml><?xml version="1.0" encoding="utf-8"?>
<sst xmlns="http://schemas.openxmlformats.org/spreadsheetml/2006/main" count="2303" uniqueCount="451">
  <si>
    <t>اسم المشارك</t>
  </si>
  <si>
    <t>رقم الجوال</t>
  </si>
  <si>
    <t>البريد الإلكتروني</t>
  </si>
  <si>
    <t>المسمى الوظيفي</t>
  </si>
  <si>
    <t>مستوى الخبرة</t>
  </si>
  <si>
    <t>سنوات الخبرة</t>
  </si>
  <si>
    <t>حالة الطلب</t>
  </si>
  <si>
    <t>حالة القبول</t>
  </si>
  <si>
    <t>حالة الحضور</t>
  </si>
  <si>
    <t>الحضور الفعلي</t>
  </si>
  <si>
    <t>اسم الورشة</t>
  </si>
  <si>
    <t>نوع الورشة</t>
  </si>
  <si>
    <t>مجال الورشة</t>
  </si>
  <si>
    <t>منطقة الورشة</t>
  </si>
  <si>
    <t>مدينة الورشة</t>
  </si>
  <si>
    <t>تاريخ الورشة</t>
  </si>
  <si>
    <t>عدد الورش المسجلة</t>
  </si>
  <si>
    <t>عدد الورش التي حضرها</t>
  </si>
  <si>
    <t>عدد الورش المكتملة</t>
  </si>
  <si>
    <t>توفر الشهادة</t>
  </si>
  <si>
    <t>ماجد الحربي</t>
  </si>
  <si>
    <t>+96651070000001</t>
  </si>
  <si>
    <t>participant.ws-107.001@example.com</t>
  </si>
  <si>
    <t/>
  </si>
  <si>
    <t>3–5 سنوات</t>
  </si>
  <si>
    <t>مقبول</t>
  </si>
  <si>
    <t>حضور فعلي</t>
  </si>
  <si>
    <t>نعم</t>
  </si>
  <si>
    <t>ورشة تصحيح الألوان</t>
  </si>
  <si>
    <t>ورش متخصصة</t>
  </si>
  <si>
    <t>تصحيح الألوان</t>
  </si>
  <si>
    <t>منطقة القصيم</t>
  </si>
  <si>
    <t>بريدة</t>
  </si>
  <si>
    <t>2026-12-01</t>
  </si>
  <si>
    <t>غير متاحة</t>
  </si>
  <si>
    <t>نورة العتيبي</t>
  </si>
  <si>
    <t>+96651070000002</t>
  </si>
  <si>
    <t>participant.ws-107.002@example.com</t>
  </si>
  <si>
    <t>سعد الدوسري</t>
  </si>
  <si>
    <t>+96651070000003</t>
  </si>
  <si>
    <t>participant.ws-107.003@example.com</t>
  </si>
  <si>
    <t>حضور جزئي</t>
  </si>
  <si>
    <t>لا</t>
  </si>
  <si>
    <t>جنى القحطاني</t>
  </si>
  <si>
    <t>+96651070000004</t>
  </si>
  <si>
    <t>participant.ws-107.004@example.com</t>
  </si>
  <si>
    <t>مقدّم طلب</t>
  </si>
  <si>
    <t>قيد المراجعة</t>
  </si>
  <si>
    <t>وليد المطيري</t>
  </si>
  <si>
    <t>+96651070000005</t>
  </si>
  <si>
    <t>participant.ws-107.005@example.com</t>
  </si>
  <si>
    <t>عبدالله الزهراني</t>
  </si>
  <si>
    <t>+96651080000001</t>
  </si>
  <si>
    <t>participant.ws-108.001@example.com</t>
  </si>
  <si>
    <t>بدون خبرة</t>
  </si>
  <si>
    <t>مسجل</t>
  </si>
  <si>
    <t>ورشة كتابة السيناريو</t>
  </si>
  <si>
    <t>كتابة السيناريو</t>
  </si>
  <si>
    <t>منطقة الرياض</t>
  </si>
  <si>
    <t>الرياض</t>
  </si>
  <si>
    <t>2026-12-08</t>
  </si>
  <si>
    <t>رهف السبيعي</t>
  </si>
  <si>
    <t>+96651080000002</t>
  </si>
  <si>
    <t>participant.ws-108.002@example.com</t>
  </si>
  <si>
    <t>تركي العنزي</t>
  </si>
  <si>
    <t>+96651080000003</t>
  </si>
  <si>
    <t>participant.ws-108.003@example.com</t>
  </si>
  <si>
    <t>مها الشهري</t>
  </si>
  <si>
    <t>+96651080000004</t>
  </si>
  <si>
    <t>participant.ws-108.004@example.com</t>
  </si>
  <si>
    <t>فيصل البقمي</t>
  </si>
  <si>
    <t>+96651080000005</t>
  </si>
  <si>
    <t>participant.ws-108.005@example.com</t>
  </si>
  <si>
    <t>لمى الرشيد</t>
  </si>
  <si>
    <t>+96651080000006</t>
  </si>
  <si>
    <t>participant.ws-108.006@example.com</t>
  </si>
  <si>
    <t>عمر الجهني</t>
  </si>
  <si>
    <t>+96651080000007</t>
  </si>
  <si>
    <t>participant.ws-108.007@example.com</t>
  </si>
  <si>
    <t>شهد الحارثي</t>
  </si>
  <si>
    <t>+96651080000008</t>
  </si>
  <si>
    <t>participant.ws-108.008@example.com</t>
  </si>
  <si>
    <t>سلطان الغامدي</t>
  </si>
  <si>
    <t>+96651090000001</t>
  </si>
  <si>
    <t>participant.ws-109.001@example.com</t>
  </si>
  <si>
    <t>أقل من سنة</t>
  </si>
  <si>
    <t>ورشة التصوير السينمائي</t>
  </si>
  <si>
    <t>التصوير السينمائي</t>
  </si>
  <si>
    <t>منطقة مكة المكرمة</t>
  </si>
  <si>
    <t>جدة</t>
  </si>
  <si>
    <t>2026-06-15</t>
  </si>
  <si>
    <t>جواهر الثقفي</t>
  </si>
  <si>
    <t>+96651090000002</t>
  </si>
  <si>
    <t>participant.ws-109.002@example.com</t>
  </si>
  <si>
    <t>ياسر المالكي</t>
  </si>
  <si>
    <t>+96651090000003</t>
  </si>
  <si>
    <t>participant.ws-109.003@example.com</t>
  </si>
  <si>
    <t>ريم الزهراني</t>
  </si>
  <si>
    <t>+96651090000004</t>
  </si>
  <si>
    <t>participant.ws-109.004@example.com</t>
  </si>
  <si>
    <t>بدر الحربي</t>
  </si>
  <si>
    <t>+96651090000005</t>
  </si>
  <si>
    <t>participant.ws-109.005@example.com</t>
  </si>
  <si>
    <t>أروى العمري</t>
  </si>
  <si>
    <t>+96651090000006</t>
  </si>
  <si>
    <t>participant.ws-109.006@example.com</t>
  </si>
  <si>
    <t>نايف السلمي</t>
  </si>
  <si>
    <t>+96651090000007</t>
  </si>
  <si>
    <t>participant.ws-109.007@example.com</t>
  </si>
  <si>
    <t>غادة الشريف</t>
  </si>
  <si>
    <t>+96651090000008</t>
  </si>
  <si>
    <t>participant.ws-109.008@example.com</t>
  </si>
  <si>
    <t>مازن باناجه</t>
  </si>
  <si>
    <t>+96651090000009</t>
  </si>
  <si>
    <t>participant.ws-109.009@example.com</t>
  </si>
  <si>
    <t>لين الجابري</t>
  </si>
  <si>
    <t>+96651090000010</t>
  </si>
  <si>
    <t>participant.ws-109.010@example.com</t>
  </si>
  <si>
    <t>محمد عبدالله المقبل</t>
  </si>
  <si>
    <t>+966559289496</t>
  </si>
  <si>
    <t>walkin.mrrq96vumgyu@onsite.local</t>
  </si>
  <si>
    <t>عزام ابراهيم الظاهري</t>
  </si>
  <si>
    <t>+966544773980</t>
  </si>
  <si>
    <t>walkin.mrrqblbi8eaw@onsite.local</t>
  </si>
  <si>
    <t>إسراء عثمان</t>
  </si>
  <si>
    <t>+966541620476</t>
  </si>
  <si>
    <t>esraaoth01@gmail.com</t>
  </si>
  <si>
    <t>ورشة كتابة الفيلم القصير</t>
  </si>
  <si>
    <t>ورشة حضورية</t>
  </si>
  <si>
    <t>2026-11-15</t>
  </si>
  <si>
    <t>تكوين الفرج</t>
  </si>
  <si>
    <t>+966569408779</t>
  </si>
  <si>
    <t>takween065@gmail.com</t>
  </si>
  <si>
    <t>عبدالعزيز سليم الدحيل</t>
  </si>
  <si>
    <t>+966555690701</t>
  </si>
  <si>
    <t>azizversion1@gmail.com</t>
  </si>
  <si>
    <t>آلاء خالد مدني</t>
  </si>
  <si>
    <t>+966504411998</t>
  </si>
  <si>
    <t>ialaa7@hotmail.com</t>
  </si>
  <si>
    <t>هياء عبد الكريم شكري درويش</t>
  </si>
  <si>
    <t>+966558083320</t>
  </si>
  <si>
    <t>hayashokry22@gmail.com</t>
  </si>
  <si>
    <t>عمر عبدالعزيز الفواز</t>
  </si>
  <si>
    <t>+966566657256</t>
  </si>
  <si>
    <t>troplxx1@gmail.com</t>
  </si>
  <si>
    <t>حسين الخلف</t>
  </si>
  <si>
    <t>+966562157857</t>
  </si>
  <si>
    <t>hussainalkhalaf51@gmail.com</t>
  </si>
  <si>
    <t>مروى محمد الجمال</t>
  </si>
  <si>
    <t>+966500903418</t>
  </si>
  <si>
    <t>cutememoo95@gmail.com</t>
  </si>
  <si>
    <t>مرفوض</t>
  </si>
  <si>
    <t>لولوه محمد الشهري</t>
  </si>
  <si>
    <t>+966558401369</t>
  </si>
  <si>
    <t>lolasmoo@gmail.com</t>
  </si>
  <si>
    <t>رغد مجلي</t>
  </si>
  <si>
    <t>+966558411710</t>
  </si>
  <si>
    <t>raghad306@gmail.com</t>
  </si>
  <si>
    <t>الوليد عبدالملك الشويعر</t>
  </si>
  <si>
    <t>+966500549605</t>
  </si>
  <si>
    <t>alwaleedalshwyr@gmail.com</t>
  </si>
  <si>
    <t>لجين فلمبان</t>
  </si>
  <si>
    <t>+966583662756</t>
  </si>
  <si>
    <t>lujainfelmban@gmail.com</t>
  </si>
  <si>
    <t>إلهام فريد السقاف</t>
  </si>
  <si>
    <t>+966501621632</t>
  </si>
  <si>
    <t>star.outrageous@gmail.com</t>
  </si>
  <si>
    <t>لينا الميمان</t>
  </si>
  <si>
    <t>+966545454310</t>
  </si>
  <si>
    <t>leena.almiman@hotmail.com</t>
  </si>
  <si>
    <t>نوره جمعه فرج الدوسري</t>
  </si>
  <si>
    <t>+966567522140</t>
  </si>
  <si>
    <t>nouraaldoussari@gmail.com</t>
  </si>
  <si>
    <t>Alabdulkarim Reem</t>
  </si>
  <si>
    <t>+966554093300</t>
  </si>
  <si>
    <t>reem.i.alabdulkarim@gmail.com</t>
  </si>
  <si>
    <t>سيف هزاع ابو ستة</t>
  </si>
  <si>
    <t>+966592878384</t>
  </si>
  <si>
    <t>saifhazzaabu6@gmail.com</t>
  </si>
  <si>
    <t>يزيد بخيت مجرشي</t>
  </si>
  <si>
    <t>+966508035090</t>
  </si>
  <si>
    <t>yazee999@gmail.com</t>
  </si>
  <si>
    <t>غازي عاشور</t>
  </si>
  <si>
    <t>+966504634284</t>
  </si>
  <si>
    <t>gaaashoor@hotmail.com</t>
  </si>
  <si>
    <t>فاطمة مشبب الحيدر</t>
  </si>
  <si>
    <t>+966546683192</t>
  </si>
  <si>
    <t>ludva7301@gmail.com</t>
  </si>
  <si>
    <t>مرام فالح الخطيب</t>
  </si>
  <si>
    <t>+966555292267</t>
  </si>
  <si>
    <t>maroxd100@gmail.com</t>
  </si>
  <si>
    <t>Yara Bukhari</t>
  </si>
  <si>
    <t>+966590011352</t>
  </si>
  <si>
    <t>yoragum@hotmail.com</t>
  </si>
  <si>
    <t>متاب سالم</t>
  </si>
  <si>
    <t>+966557972404</t>
  </si>
  <si>
    <t>keqxcv@gmail.com</t>
  </si>
  <si>
    <t>محمد يوسف عبدالله</t>
  </si>
  <si>
    <t>+966568839785</t>
  </si>
  <si>
    <t>cceifa410@gmail.com</t>
  </si>
  <si>
    <t>رزان بلخير باتيس</t>
  </si>
  <si>
    <t>+966538469039</t>
  </si>
  <si>
    <t>rzanblkhear@gmail.com</t>
  </si>
  <si>
    <t>منى مستور العصيمي</t>
  </si>
  <si>
    <t>+966563321714</t>
  </si>
  <si>
    <t>malosaimi168@gmail.com</t>
  </si>
  <si>
    <t>ميعاد سعود العتيبي</t>
  </si>
  <si>
    <t>+966531337540</t>
  </si>
  <si>
    <t>myaadsaud@gmail.com</t>
  </si>
  <si>
    <t>ثريا حسن العيسى</t>
  </si>
  <si>
    <t>+966542355647</t>
  </si>
  <si>
    <t>thorya5@gmail.com</t>
  </si>
  <si>
    <t>ميسون الرمال</t>
  </si>
  <si>
    <t>+966544411941</t>
  </si>
  <si>
    <t>mysoon.ram@gmail.com</t>
  </si>
  <si>
    <t>أمجاد الدبل</t>
  </si>
  <si>
    <t>+96633247623</t>
  </si>
  <si>
    <t>oanaamjad@gmail.com</t>
  </si>
  <si>
    <t>نسرين عبدالمؤمن التركستاني</t>
  </si>
  <si>
    <t>+966564030406</t>
  </si>
  <si>
    <t>nesreenalturkistani@gmail.com</t>
  </si>
  <si>
    <t>عذاري سعود علي العتيبي</t>
  </si>
  <si>
    <t>+966552716623</t>
  </si>
  <si>
    <t>wetharia2022@gmail.com</t>
  </si>
  <si>
    <t>ميمونه ادريس الهوسه</t>
  </si>
  <si>
    <t>+966559928269</t>
  </si>
  <si>
    <t>meem.ed@icloud.com</t>
  </si>
  <si>
    <t>نهلا العمري</t>
  </si>
  <si>
    <t>+966506313175</t>
  </si>
  <si>
    <t>nahla.artist@gmail.com</t>
  </si>
  <si>
    <t>هند سعيد صالح الغامدي</t>
  </si>
  <si>
    <t>+966502415822</t>
  </si>
  <si>
    <t>h.crisfor@gmail.com</t>
  </si>
  <si>
    <t>ريان سامي خلف العمري</t>
  </si>
  <si>
    <t>+966595030039</t>
  </si>
  <si>
    <t>rsaljabry@gmail.com</t>
  </si>
  <si>
    <t>صالح شاهر الخمعلي</t>
  </si>
  <si>
    <t>+966533629507</t>
  </si>
  <si>
    <t>cresbogaming@gmail.com</t>
  </si>
  <si>
    <t>باسمة حلوي</t>
  </si>
  <si>
    <t>+966537963473</t>
  </si>
  <si>
    <t>basmweez2222@gmail.com</t>
  </si>
  <si>
    <t>شهد عبدالله المساوى</t>
  </si>
  <si>
    <t>+966557509858</t>
  </si>
  <si>
    <t>shahhd2011@hotmail.com</t>
  </si>
  <si>
    <t>كوثر قاسم عبدالمجيد أبوالمكارم</t>
  </si>
  <si>
    <t>+966594116917</t>
  </si>
  <si>
    <t>kautharqassim@gmail.com</t>
  </si>
  <si>
    <t>ريناد عبدالله القثمي</t>
  </si>
  <si>
    <t>+966500946451</t>
  </si>
  <si>
    <t>rinadalqathmi@gmail.com</t>
  </si>
  <si>
    <t>اثير علي هداش</t>
  </si>
  <si>
    <t>+966530224550</t>
  </si>
  <si>
    <t>atheer_had@outlook.sa</t>
  </si>
  <si>
    <t>فراس سمير هاشم</t>
  </si>
  <si>
    <t>+966505617670</t>
  </si>
  <si>
    <t>feras_hashim@yahoo.com</t>
  </si>
  <si>
    <t>عبدالرحمن فهد الغامدي</t>
  </si>
  <si>
    <t>+966536946993</t>
  </si>
  <si>
    <t>cr7woow@hotmail.com</t>
  </si>
  <si>
    <t>عبدالله محمد عبدالعزيز الحوطي</t>
  </si>
  <si>
    <t>+966547470071</t>
  </si>
  <si>
    <t>directorhouti@gmail.com</t>
  </si>
  <si>
    <t>سلمان سعد الحربي</t>
  </si>
  <si>
    <t>+966552588092</t>
  </si>
  <si>
    <t>sadfg2369@gmail.com</t>
  </si>
  <si>
    <t>رهف أحمد الزهراني</t>
  </si>
  <si>
    <t>+966501039298</t>
  </si>
  <si>
    <t>rahaf.alzahrani20@gmail.com</t>
  </si>
  <si>
    <t>Huriyyah Hussain Alqahtani</t>
  </si>
  <si>
    <t>+966535473343</t>
  </si>
  <si>
    <t>huoriahuseen@gmail.com</t>
  </si>
  <si>
    <t>تركي سليمان الحربي</t>
  </si>
  <si>
    <t>+966562708171</t>
  </si>
  <si>
    <t>ilharbeyturki77@gmail.com</t>
  </si>
  <si>
    <t>هاجر محمد</t>
  </si>
  <si>
    <t>+966542917125</t>
  </si>
  <si>
    <t>hajaralzaagi@gmail.com</t>
  </si>
  <si>
    <t>ليان محمدأمين احمد جان</t>
  </si>
  <si>
    <t>+966599833115</t>
  </si>
  <si>
    <t>layan.moonlight2000@gmail.com</t>
  </si>
  <si>
    <t>المجد عايض القربي</t>
  </si>
  <si>
    <t>+966560722089</t>
  </si>
  <si>
    <t>almajdalqurbe@gmail.com</t>
  </si>
  <si>
    <t>نورة عبدالله ال مغيرة</t>
  </si>
  <si>
    <t>+966534672446</t>
  </si>
  <si>
    <t>nourahmogheerah@gmail.com</t>
  </si>
  <si>
    <t>مشاعل المطيري</t>
  </si>
  <si>
    <t>+966535638855</t>
  </si>
  <si>
    <t>mashaelism@outlook.com</t>
  </si>
  <si>
    <t>العنود خالد عبدالله العمري</t>
  </si>
  <si>
    <t>+966557902499</t>
  </si>
  <si>
    <t>al3noudalamri@gmail.com</t>
  </si>
  <si>
    <t>نصر ناصر علي محمد</t>
  </si>
  <si>
    <t>+966967771943062</t>
  </si>
  <si>
    <t>nasralsanafanyart@gmail.com</t>
  </si>
  <si>
    <t>حنين حسن محمد احمد هزاع</t>
  </si>
  <si>
    <t>+966967738967744</t>
  </si>
  <si>
    <t>hanenmoha7738ty@gmail.com</t>
  </si>
  <si>
    <t>أحمد إبراهيم البوقرين</t>
  </si>
  <si>
    <t>+966537142036</t>
  </si>
  <si>
    <t>ahmadaa977albogrin@gmail.com</t>
  </si>
  <si>
    <t>لما عبدالله</t>
  </si>
  <si>
    <t>+96650467458</t>
  </si>
  <si>
    <t>la034334@gmail.com</t>
  </si>
  <si>
    <t>سميه احمد الغامدي</t>
  </si>
  <si>
    <t>+966530899219</t>
  </si>
  <si>
    <t>somayah.a.alghamdi@gmail.com</t>
  </si>
  <si>
    <t>علي ذياب علي الحربي</t>
  </si>
  <si>
    <t>+966559893380</t>
  </si>
  <si>
    <t>alialmo3mar1@gmail.com</t>
  </si>
  <si>
    <t>اسيل سليمان الوهيبي</t>
  </si>
  <si>
    <t>+966558339365</t>
  </si>
  <si>
    <t>aseelsulimanw@gmail.com</t>
  </si>
  <si>
    <t>ديما محمد العدواني</t>
  </si>
  <si>
    <t>+966593571735</t>
  </si>
  <si>
    <t>deema.aladwani2022@gmail.com</t>
  </si>
  <si>
    <t>نجود احمد حافظ</t>
  </si>
  <si>
    <t>+966556172527</t>
  </si>
  <si>
    <t>ayamibaka22@gmail.com</t>
  </si>
  <si>
    <t>نوره محمد دغاسي</t>
  </si>
  <si>
    <t>+966530251627</t>
  </si>
  <si>
    <t>noradaghasi@gmail.com</t>
  </si>
  <si>
    <t>رناسالم باكدم</t>
  </si>
  <si>
    <t>+966570646816</t>
  </si>
  <si>
    <t>ranabakadam@gmail.com</t>
  </si>
  <si>
    <t>غدير سعود العتيبي</t>
  </si>
  <si>
    <t>+966568413592</t>
  </si>
  <si>
    <t>ghadeerotaibii@gmail.com</t>
  </si>
  <si>
    <t>عمرو عبدالعزيز اسماعيل</t>
  </si>
  <si>
    <t>+966544426670</t>
  </si>
  <si>
    <t>amro.i@outlook.sa</t>
  </si>
  <si>
    <t>مها سلطان العمري</t>
  </si>
  <si>
    <t>+966560249409</t>
  </si>
  <si>
    <t>maha.sul02@gmail.com</t>
  </si>
  <si>
    <t>لانا عمار مدني</t>
  </si>
  <si>
    <t>+966534483573</t>
  </si>
  <si>
    <t>bylanaammar@gmail.com</t>
  </si>
  <si>
    <t>ريم محمد حمدي</t>
  </si>
  <si>
    <t>+966559026133</t>
  </si>
  <si>
    <t>reemww68@gmail.com</t>
  </si>
  <si>
    <t>ولاء سندي</t>
  </si>
  <si>
    <t>+966555585208</t>
  </si>
  <si>
    <t>wjsindi@gmail.com</t>
  </si>
  <si>
    <t>Kholoud Al-Hamed</t>
  </si>
  <si>
    <t>+966565638480</t>
  </si>
  <si>
    <t>l0o0dy1.g@gmail.com</t>
  </si>
  <si>
    <t>نورة الصمعاني</t>
  </si>
  <si>
    <t>+966557483218</t>
  </si>
  <si>
    <t>no.no1430@hotmail.com</t>
  </si>
  <si>
    <t>أثير سعود المطيري</t>
  </si>
  <si>
    <t>+966533590526</t>
  </si>
  <si>
    <t>a70theer5@gmail.com</t>
  </si>
  <si>
    <t>مياس المالكي</t>
  </si>
  <si>
    <t>+966535526959</t>
  </si>
  <si>
    <t>mias1426mm@gmail.com</t>
  </si>
  <si>
    <t>احمد نبيل الملا</t>
  </si>
  <si>
    <t>+966564471587</t>
  </si>
  <si>
    <t>ahmedelmalla2@gmail.com</t>
  </si>
  <si>
    <t>مهدي علي دهل</t>
  </si>
  <si>
    <t>+966530632786</t>
  </si>
  <si>
    <t>harokileyo@gmail.com</t>
  </si>
  <si>
    <t>مريم جابر الفيفي</t>
  </si>
  <si>
    <t>+966558928148</t>
  </si>
  <si>
    <t>eng.mariamjm@gmail.com</t>
  </si>
  <si>
    <t>رنا الزهراني</t>
  </si>
  <si>
    <t>+966547417908</t>
  </si>
  <si>
    <t>rana.m.alzahrani@gmail.com</t>
  </si>
  <si>
    <t>شوق سعد لافي الحجيلي</t>
  </si>
  <si>
    <t>+966543759916</t>
  </si>
  <si>
    <t>alhejailishouq@gmail.com</t>
  </si>
  <si>
    <t>غلا عبدالله القحطاني</t>
  </si>
  <si>
    <t>+966559127563</t>
  </si>
  <si>
    <t>gh.alqahtani03@gmail.com</t>
  </si>
  <si>
    <t>ريم البو عليان</t>
  </si>
  <si>
    <t>+966553111989</t>
  </si>
  <si>
    <t>reem.albu.olayan@gmail.com</t>
  </si>
  <si>
    <t>علي حسين الدندن</t>
  </si>
  <si>
    <t>+966546900950</t>
  </si>
  <si>
    <t>alidandan847@gmail.com</t>
  </si>
  <si>
    <t>ليان عبدالله يعقوب</t>
  </si>
  <si>
    <t>+966545904481</t>
  </si>
  <si>
    <t>yaqoblayan@gmail.com</t>
  </si>
  <si>
    <t>رهف  ماجد العسعوس</t>
  </si>
  <si>
    <t>+966553260706</t>
  </si>
  <si>
    <t>mjtrhf@gmail.com</t>
  </si>
  <si>
    <t>محمد سلمان الهاشم</t>
  </si>
  <si>
    <t>+966599080723</t>
  </si>
  <si>
    <t>aifordesigners@gmail.com</t>
  </si>
  <si>
    <t>مشعل بن مسلم</t>
  </si>
  <si>
    <t>+966551957017</t>
  </si>
  <si>
    <t>meshalbinmusallam@gmail.com</t>
  </si>
  <si>
    <t>حصة الناصر</t>
  </si>
  <si>
    <t>+966552747326</t>
  </si>
  <si>
    <t>hessaalnasser783@gmail.com</t>
  </si>
  <si>
    <t>شهد البقمي</t>
  </si>
  <si>
    <t>+966545942744</t>
  </si>
  <si>
    <t>shahadcreativesa@gmail.com</t>
  </si>
  <si>
    <t>تهاني حمزه تكروني</t>
  </si>
  <si>
    <t>+966580741003</t>
  </si>
  <si>
    <t>tahani.hamza22@gmail.com</t>
  </si>
  <si>
    <t>ريم سليمان طوله</t>
  </si>
  <si>
    <t>+966565924870</t>
  </si>
  <si>
    <t>tolahreem@gmail.com</t>
  </si>
  <si>
    <t>وعد الشمري</t>
  </si>
  <si>
    <t>+966530990169</t>
  </si>
  <si>
    <t>waad.shammry@gmail.com</t>
  </si>
  <si>
    <t>أكبر العلي</t>
  </si>
  <si>
    <t>+966538835576</t>
  </si>
  <si>
    <t>a0538835576@gmail.com</t>
  </si>
  <si>
    <t>شوق صالح العمري</t>
  </si>
  <si>
    <t>+966594566298</t>
  </si>
  <si>
    <t>shouqsaleh.alomari@gmail.com</t>
  </si>
  <si>
    <t>سعود عبدالعزيز مبارك سويدان</t>
  </si>
  <si>
    <t>+966554024125</t>
  </si>
  <si>
    <t>saudabdulaziz973@gmail.com</t>
  </si>
  <si>
    <t>ميعاد القثمي</t>
  </si>
  <si>
    <t>+966557656964</t>
  </si>
  <si>
    <t>meaad.alqthmi145@gmail.com</t>
  </si>
  <si>
    <t>دانه التتان</t>
  </si>
  <si>
    <t>+96696599311911</t>
  </si>
  <si>
    <t>dana.altattan@gmail.com</t>
  </si>
  <si>
    <t>Mansuor</t>
  </si>
  <si>
    <t>+966557713969</t>
  </si>
  <si>
    <t>mas2030a@gmail.com</t>
  </si>
  <si>
    <t>محمد احمد محمد كعبي</t>
  </si>
  <si>
    <t>+966530129973</t>
  </si>
  <si>
    <t>m.a.k.study.20@outlook.com</t>
  </si>
  <si>
    <t>أفنان باويان</t>
  </si>
  <si>
    <t>+966557879660</t>
  </si>
  <si>
    <t>afnan.bawyan@gmail.com</t>
  </si>
  <si>
    <t>هشام ابو عودة</t>
  </si>
  <si>
    <t>+966594801033</t>
  </si>
  <si>
    <t>hisham.abuodeh2014@gmail.com</t>
  </si>
  <si>
    <t>دليل الألوان</t>
  </si>
  <si>
    <t>●</t>
  </si>
  <si>
    <t>مقبول / حضور فعلي / نعم / عدد &gt; 0</t>
  </si>
  <si>
    <t>مقدّم طلب / قيد المراجعة / حضور جزئي</t>
  </si>
  <si>
    <t>مرفوض / مسجل / لا / عدد = 0</t>
  </si>
  <si>
    <t>فارغ / غير متاحة</t>
  </si>
  <si>
    <t>الجنس</t>
  </si>
  <si>
    <t>ذكر</t>
  </si>
  <si>
    <t>أنثى</t>
  </si>
  <si>
    <t>لوحة معلومات المشاركين — الموسم الخامس</t>
  </si>
  <si>
    <t>المسجّلون</t>
  </si>
  <si>
    <t>إجمالي من قدّموا طلبًا</t>
  </si>
  <si>
    <t>المقبولون</t>
  </si>
  <si>
    <t>الحضور</t>
  </si>
  <si>
    <t>العدد</t>
  </si>
  <si>
    <t>المنطقة</t>
  </si>
  <si>
    <t>بيانات مصدر الرسوم البيانية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</si>
</sst>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F2938"/>
      <name val="Calibri"/>
      <family val="2"/>
      <scheme val="minor"/>
    </font>
    <font>
      <b/>
      <sz val="12"/>
      <color rgb="FF0F2938"/>
      <name val="Calibri"/>
      <family val="2"/>
      <scheme val="minor"/>
    </font>
    <font>
      <b/>
      <sz val="22"/>
      <color rgb="FF0F2938"/>
      <name val="Effra"/>
      <family val="2"/>
    </font>
    <font>
      <sz val="12"/>
      <color theme="1"/>
      <name val="Effra"/>
      <family val="2"/>
    </font>
    <font>
      <b/>
      <sz val="13"/>
      <color rgb="FFFFFFFF"/>
      <name val="Effra"/>
      <family val="2"/>
    </font>
    <font>
      <b/>
      <sz val="34"/>
      <color rgb="FFFFFFFF"/>
      <name val="Effra"/>
      <family val="2"/>
    </font>
    <font>
      <sz val="11"/>
      <color rgb="FFE8EEF2"/>
      <name val="Effra"/>
      <family val="2"/>
    </font>
    <font>
      <b/>
      <sz val="11"/>
      <color rgb="FF0F2938"/>
      <name val="Effra"/>
      <family val="2"/>
    </font>
    <font>
      <b/>
      <sz val="10"/>
      <color rgb="FFFFFFFF"/>
      <name val="Effra"/>
      <family val="2"/>
    </font>
    <font>
      <sz val="10"/>
      <color rgb="FF0F2938"/>
      <name val="Effra"/>
      <family val="2"/>
    </font>
    <font>
      <b/>
      <sz val="12"/>
      <color rgb="FFFFFFFF"/>
      <name val="Effra"/>
      <family val="2"/>
    </font>
    <font>
      <sz val="12"/>
      <color rgb="FF0F2938"/>
      <name val="Effra"/>
      <family val="2"/>
    </font>
  </fonts>
  <fills count="12">
    <fill>
      <patternFill patternType="none"/>
    </fill>
    <fill>
      <patternFill patternType="gray125"/>
    </fill>
    <fill>
      <patternFill patternType="solid">
        <fgColor rgb="FF0F293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4B40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1F4F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F2938"/>
      </top>
      <bottom/>
      <diagonal/>
    </border>
    <border>
      <left style="thin">
        <color rgb="FF0F2938"/>
      </left>
      <right style="thin">
        <color rgb="FF0F2938"/>
      </right>
      <top style="thin">
        <color rgb="FF0F2938"/>
      </top>
      <bottom style="thin">
        <color rgb="FF0F2938"/>
      </bottom>
      <diagonal/>
    </border>
    <border>
      <left/>
      <right/>
      <top style="thin">
        <color rgb="FF17603A"/>
      </top>
      <bottom/>
      <diagonal/>
    </border>
    <border>
      <left/>
      <right/>
      <top style="thin">
        <color rgb="FF1565C0"/>
      </top>
      <bottom/>
      <diagonal/>
    </border>
    <border>
      <left/>
      <right/>
      <top style="thin">
        <color rgb="FFB8860B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3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5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/>
    </xf>
    <xf numFmtId="0" fontId="11" fillId="7" borderId="0" xfId="0" applyFont="1" applyFill="1"/>
    <xf numFmtId="0" fontId="11" fillId="7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164" fontId="8" fillId="11" borderId="0" xfId="0" applyNumberFormat="1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8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164" fontId="8" fillId="10" borderId="0" xfId="0" applyNumberFormat="1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0F2938"/>
      </font>
      <fill>
        <patternFill patternType="solid">
          <fgColor indexed="64"/>
          <bgColor rgb="FFF4B400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0F2938"/>
      </font>
      <fill>
        <patternFill patternType="solid">
          <fgColor indexed="64"/>
          <bgColor rgb="FFF4B400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0F2938"/>
      </font>
      <fill>
        <patternFill patternType="solid">
          <fgColor indexed="64"/>
          <bgColor rgb="FFF4B400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F2938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المشاركون حسب نوع الورشة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F29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Dashboard!$T$41</c:f>
              <c:strCache>
                <c:ptCount val="1"/>
                <c:pt idx="0">
                  <c:v>العدد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60-4E14-BA83-88170064C0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C60-4E14-BA83-88170064C0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Dashboard!$S$42:$S$43</c:f>
              <c:strCache>
                <c:ptCount val="2"/>
                <c:pt idx="0">
                  <c:v>ورش متخصصة</c:v>
                </c:pt>
                <c:pt idx="1">
                  <c:v>ورشة حضورية</c:v>
                </c:pt>
              </c:strCache>
            </c:strRef>
          </c:cat>
          <c:val>
            <c:numRef>
              <c:f>Dashboard!$T$42:$T$43</c:f>
              <c:numCache>
                <c:formatCode>General</c:formatCode>
                <c:ptCount val="2"/>
                <c:pt idx="0">
                  <c:v>20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0-4E14-BA83-88170064C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EE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F2938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المشاركون حسب المنطقة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F29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Dashboard!$T$45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Dashboard!$S$46:$S$48</c:f>
              <c:strCache>
                <c:ptCount val="3"/>
                <c:pt idx="0">
                  <c:v>منطقة الرياض</c:v>
                </c:pt>
                <c:pt idx="1">
                  <c:v>منطقة مكة المكرمة</c:v>
                </c:pt>
                <c:pt idx="2">
                  <c:v>منطقة القصيم</c:v>
                </c:pt>
              </c:strCache>
            </c:strRef>
          </c:cat>
          <c:val>
            <c:numRef>
              <c:f>Dashboard!$T$46:$T$48</c:f>
              <c:numCache>
                <c:formatCode>General</c:formatCode>
                <c:ptCount val="3"/>
                <c:pt idx="0">
                  <c:v>6</c:v>
                </c:pt>
                <c:pt idx="1">
                  <c:v>99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B-45D9-B43C-F16BCEB11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3768528"/>
        <c:axId val="833769008"/>
      </c:barChart>
      <c:catAx>
        <c:axId val="83376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69008"/>
        <c:crosses val="autoZero"/>
        <c:auto val="1"/>
        <c:lblAlgn val="ctr"/>
        <c:lblOffset val="100"/>
        <c:noMultiLvlLbl val="0"/>
      </c:catAx>
      <c:valAx>
        <c:axId val="83376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6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EE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F2938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التوزيع حسب الجنس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F29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Dashboard!$T$50</c:f>
              <c:strCache>
                <c:ptCount val="1"/>
                <c:pt idx="0">
                  <c:v>العدد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C8-4196-83B5-37C3481970B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4C8-4196-83B5-37C3481970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Dashboard!$S$51:$S$52</c:f>
              <c:strCache>
                <c:ptCount val="2"/>
                <c:pt idx="0">
                  <c:v>ذكر</c:v>
                </c:pt>
                <c:pt idx="1">
                  <c:v>أنثى</c:v>
                </c:pt>
              </c:strCache>
            </c:strRef>
          </c:cat>
          <c:val>
            <c:numRef>
              <c:f>Dashboard!$T$51:$T$52</c:f>
              <c:numCache>
                <c:formatCode>General</c:formatCode>
                <c:ptCount val="2"/>
                <c:pt idx="0">
                  <c:v>44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8-4196-83B5-37C348197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EE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F2938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المشاركون حسب مجال الورشة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F29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Dashboard!$T$54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Dashboard!$S$55:$S$57</c:f>
              <c:strCache>
                <c:ptCount val="3"/>
                <c:pt idx="0">
                  <c:v>تصحيح الألوان</c:v>
                </c:pt>
                <c:pt idx="1">
                  <c:v>كتابة السيناريو</c:v>
                </c:pt>
                <c:pt idx="2">
                  <c:v>التصوير السينمائي</c:v>
                </c:pt>
              </c:strCache>
            </c:strRef>
          </c:cat>
          <c:val>
            <c:numRef>
              <c:f>Dashboard!$T$55:$T$57</c:f>
              <c:numCache>
                <c:formatCode>General</c:formatCode>
                <c:ptCount val="3"/>
                <c:pt idx="0">
                  <c:v>3</c:v>
                </c:pt>
                <c:pt idx="1">
                  <c:v>94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6-404D-A78E-46A4A675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774288"/>
        <c:axId val="833774768"/>
      </c:barChart>
      <c:catAx>
        <c:axId val="83377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74768"/>
        <c:crosses val="autoZero"/>
        <c:auto val="1"/>
        <c:lblAlgn val="ctr"/>
        <c:lblOffset val="100"/>
        <c:noMultiLvlLbl val="0"/>
      </c:catAx>
      <c:valAx>
        <c:axId val="83377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7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EE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Type">
          <a:extLst>
            <a:ext uri="{FF2B5EF4-FFF2-40B4-BE49-F238E27FC236}">
              <a16:creationId xmlns:a16="http://schemas.microsoft.com/office/drawing/2014/main" id="{02F2E04A-D25B-7D4A-4610-093CAF851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3" name="chRegion">
          <a:extLst>
            <a:ext uri="{FF2B5EF4-FFF2-40B4-BE49-F238E27FC236}">
              <a16:creationId xmlns:a16="http://schemas.microsoft.com/office/drawing/2014/main" id="{CD80F9F7-E6CF-C991-9A96-66A29CC39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4" name="chGender">
          <a:extLst>
            <a:ext uri="{FF2B5EF4-FFF2-40B4-BE49-F238E27FC236}">
              <a16:creationId xmlns:a16="http://schemas.microsoft.com/office/drawing/2014/main" id="{4307712F-79DB-16C3-CFFE-1906E0627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5" name="chField">
          <a:extLst>
            <a:ext uri="{FF2B5EF4-FFF2-40B4-BE49-F238E27FC236}">
              <a16:creationId xmlns:a16="http://schemas.microsoft.com/office/drawing/2014/main" id="{03A506DD-0E69-E7BD-2075-970A08970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ultan" id="{CBB5FAE0-8A51-4F93-8416-D65D270A686C}" userId="S::s.bniali@tamhub.com::596bfde2-47e4-4d36-8f0a-78d31f84a794" providerId="AD"/>
</personList>
</file>

<file path=xl/theme/theme1.xml><?xml version="1.0" encoding="utf-8"?>
<a:theme xmlns:a="http://schemas.openxmlformats.org/drawingml/2006/main" name="Office Theme">
  <a:themeElements>
    <a:clrScheme name="Custom 1">
      <a:dk1>
        <a:srgbClr val="0F2938"/>
      </a:dk1>
      <a:lt1>
        <a:sysClr val="window" lastClr="FFFFFF"/>
      </a:lt1>
      <a:dk2>
        <a:srgbClr val="0E2837"/>
      </a:dk2>
      <a:lt2>
        <a:srgbClr val="F9F9F9"/>
      </a:lt2>
      <a:accent1>
        <a:srgbClr val="EB593D"/>
      </a:accent1>
      <a:accent2>
        <a:srgbClr val="6E1946"/>
      </a:accent2>
      <a:accent3>
        <a:srgbClr val="B51A33"/>
      </a:accent3>
      <a:accent4>
        <a:srgbClr val="FF961A"/>
      </a:accent4>
      <a:accent5>
        <a:srgbClr val="FAC29C"/>
      </a:accent5>
      <a:accent6>
        <a:srgbClr val="91B9B4"/>
      </a:accent6>
      <a:hlink>
        <a:srgbClr val="91B9B4"/>
      </a:hlink>
      <a:folHlink>
        <a:srgbClr val="EB593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7-21T12:46:34.26" personId="{CBB5FAE0-8A51-4F93-8416-D65D270A686C}" id="{116D289C-3CD5-4EF1-A810-7827243F8DD4}">
    <text>عمود مُشتق: الجنس مُستنتَج آليًا من الاسم الأول (لا يوجد عمود جنس في البيانات الأصلية). قد تكون بعض الأسماء المحايدة/الأجنبية غير دقيقة.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5BDCBA-3444-415E-BF21-79FA239246D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42f7994-8925-4229-a656-4ab19eea06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8"/>
  <sheetViews>
    <sheetView rightToLeft="1" workbookViewId="0">
      <selection activeCell="C14" sqref="C14"/>
    </sheetView>
  </sheetViews>
  <sheetFormatPr defaultRowHeight="15.5" x14ac:dyDescent="0.35"/>
  <cols>
    <col min="1" max="2" width="20.83203125" customWidth="1"/>
    <col min="3" max="3" width="32.75" customWidth="1"/>
    <col min="5" max="21" width="20.83203125" customWidth="1"/>
    <col min="23" max="23" width="6.6640625" customWidth="1"/>
    <col min="24" max="24" width="38.33203125" customWidth="1"/>
  </cols>
  <sheetData>
    <row r="1" spans="1:24" ht="28" customHeight="1" x14ac:dyDescent="0.35">
      <c r="A1" s="11" t="s">
        <v>0</v>
      </c>
      <c r="B1" s="11" t="s">
        <v>1</v>
      </c>
      <c r="C1" s="11" t="s">
        <v>2</v>
      </c>
      <c r="D1" s="11" t="s">
        <v>440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W1" s="13" t="s">
        <v>434</v>
      </c>
      <c r="X1" s="13"/>
    </row>
    <row r="2" spans="1:24" ht="19.5" x14ac:dyDescent="0.7">
      <c r="A2" s="6" t="s">
        <v>20</v>
      </c>
      <c r="B2" s="6" t="s">
        <v>21</v>
      </c>
      <c r="C2" s="6" t="s">
        <v>22</v>
      </c>
      <c r="D2" s="12" t="s">
        <v>441</v>
      </c>
      <c r="E2" s="6" t="s">
        <v>23</v>
      </c>
      <c r="F2" s="6" t="s">
        <v>24</v>
      </c>
      <c r="G2" s="6" t="s">
        <v>23</v>
      </c>
      <c r="H2" s="6" t="s">
        <v>25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>
        <v>1</v>
      </c>
      <c r="S2" s="6">
        <v>1</v>
      </c>
      <c r="T2" s="6">
        <v>1</v>
      </c>
      <c r="U2" s="6" t="s">
        <v>34</v>
      </c>
      <c r="W2" s="1" t="s">
        <v>435</v>
      </c>
      <c r="X2" s="2" t="s">
        <v>436</v>
      </c>
    </row>
    <row r="3" spans="1:24" ht="19.5" x14ac:dyDescent="0.7">
      <c r="A3" s="6" t="s">
        <v>35</v>
      </c>
      <c r="B3" s="6" t="s">
        <v>36</v>
      </c>
      <c r="C3" s="6" t="s">
        <v>37</v>
      </c>
      <c r="D3" s="12" t="s">
        <v>442</v>
      </c>
      <c r="E3" s="6" t="s">
        <v>23</v>
      </c>
      <c r="F3" s="6" t="s">
        <v>24</v>
      </c>
      <c r="G3" s="6" t="s">
        <v>23</v>
      </c>
      <c r="H3" s="6" t="s">
        <v>25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  <c r="P3" s="6" t="s">
        <v>32</v>
      </c>
      <c r="Q3" s="6" t="s">
        <v>33</v>
      </c>
      <c r="R3" s="6">
        <v>1</v>
      </c>
      <c r="S3" s="6">
        <v>1</v>
      </c>
      <c r="T3" s="6">
        <v>1</v>
      </c>
      <c r="U3" s="6" t="s">
        <v>34</v>
      </c>
      <c r="W3" s="3" t="s">
        <v>435</v>
      </c>
      <c r="X3" s="2" t="s">
        <v>437</v>
      </c>
    </row>
    <row r="4" spans="1:24" ht="19.5" x14ac:dyDescent="0.7">
      <c r="A4" s="6" t="s">
        <v>38</v>
      </c>
      <c r="B4" s="6" t="s">
        <v>39</v>
      </c>
      <c r="C4" s="6" t="s">
        <v>40</v>
      </c>
      <c r="D4" s="12" t="s">
        <v>441</v>
      </c>
      <c r="E4" s="6" t="s">
        <v>23</v>
      </c>
      <c r="F4" s="6" t="s">
        <v>24</v>
      </c>
      <c r="G4" s="6" t="s">
        <v>23</v>
      </c>
      <c r="H4" s="6" t="s">
        <v>25</v>
      </c>
      <c r="I4" s="6" t="s">
        <v>25</v>
      </c>
      <c r="J4" s="6" t="s">
        <v>41</v>
      </c>
      <c r="K4" s="6" t="s">
        <v>42</v>
      </c>
      <c r="L4" s="6" t="s">
        <v>28</v>
      </c>
      <c r="M4" s="6" t="s">
        <v>29</v>
      </c>
      <c r="N4" s="6" t="s">
        <v>30</v>
      </c>
      <c r="O4" s="6" t="s">
        <v>31</v>
      </c>
      <c r="P4" s="6" t="s">
        <v>32</v>
      </c>
      <c r="Q4" s="6" t="s">
        <v>33</v>
      </c>
      <c r="R4" s="6">
        <v>1</v>
      </c>
      <c r="S4" s="6">
        <v>0</v>
      </c>
      <c r="T4" s="6">
        <v>0</v>
      </c>
      <c r="U4" s="6" t="s">
        <v>34</v>
      </c>
      <c r="W4" s="4" t="s">
        <v>435</v>
      </c>
      <c r="X4" s="2" t="s">
        <v>438</v>
      </c>
    </row>
    <row r="5" spans="1:24" ht="19.5" x14ac:dyDescent="0.7">
      <c r="A5" s="6" t="s">
        <v>43</v>
      </c>
      <c r="B5" s="6" t="s">
        <v>44</v>
      </c>
      <c r="C5" s="6" t="s">
        <v>45</v>
      </c>
      <c r="D5" s="12" t="s">
        <v>442</v>
      </c>
      <c r="E5" s="6" t="s">
        <v>23</v>
      </c>
      <c r="F5" s="6" t="s">
        <v>24</v>
      </c>
      <c r="G5" s="6" t="s">
        <v>23</v>
      </c>
      <c r="H5" s="6" t="s">
        <v>46</v>
      </c>
      <c r="I5" s="6" t="s">
        <v>47</v>
      </c>
      <c r="J5" s="6" t="s">
        <v>23</v>
      </c>
      <c r="K5" s="6" t="s">
        <v>23</v>
      </c>
      <c r="L5" s="6" t="s">
        <v>23</v>
      </c>
      <c r="M5" s="6" t="s">
        <v>23</v>
      </c>
      <c r="N5" s="6" t="s">
        <v>23</v>
      </c>
      <c r="O5" s="6" t="s">
        <v>23</v>
      </c>
      <c r="P5" s="6">
        <v>0</v>
      </c>
      <c r="Q5" s="6">
        <v>0</v>
      </c>
      <c r="R5" s="6">
        <v>0</v>
      </c>
      <c r="S5" s="6" t="s">
        <v>34</v>
      </c>
      <c r="T5" s="6"/>
      <c r="U5" s="6"/>
      <c r="W5" s="5" t="s">
        <v>435</v>
      </c>
      <c r="X5" s="2" t="s">
        <v>439</v>
      </c>
    </row>
    <row r="6" spans="1:24" ht="19.5" x14ac:dyDescent="0.7">
      <c r="A6" s="6" t="s">
        <v>48</v>
      </c>
      <c r="B6" s="6" t="s">
        <v>49</v>
      </c>
      <c r="C6" s="6" t="s">
        <v>50</v>
      </c>
      <c r="D6" s="12" t="s">
        <v>441</v>
      </c>
      <c r="E6" s="6" t="s">
        <v>23</v>
      </c>
      <c r="F6" s="6" t="s">
        <v>24</v>
      </c>
      <c r="G6" s="6" t="s">
        <v>23</v>
      </c>
      <c r="H6" s="6" t="s">
        <v>46</v>
      </c>
      <c r="I6" s="6" t="s">
        <v>47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  <c r="P6" s="6">
        <v>0</v>
      </c>
      <c r="Q6" s="6">
        <v>0</v>
      </c>
      <c r="R6" s="6">
        <v>0</v>
      </c>
      <c r="S6" s="6" t="s">
        <v>34</v>
      </c>
      <c r="T6" s="6"/>
      <c r="U6" s="6"/>
    </row>
    <row r="7" spans="1:24" ht="19.5" x14ac:dyDescent="0.7">
      <c r="A7" s="6" t="s">
        <v>51</v>
      </c>
      <c r="B7" s="6" t="s">
        <v>52</v>
      </c>
      <c r="C7" s="6" t="s">
        <v>53</v>
      </c>
      <c r="D7" s="12" t="s">
        <v>441</v>
      </c>
      <c r="E7" s="6" t="s">
        <v>23</v>
      </c>
      <c r="F7" s="6" t="s">
        <v>54</v>
      </c>
      <c r="G7" s="6" t="s">
        <v>23</v>
      </c>
      <c r="H7" s="6" t="s">
        <v>25</v>
      </c>
      <c r="I7" s="6" t="s">
        <v>25</v>
      </c>
      <c r="J7" s="6" t="s">
        <v>55</v>
      </c>
      <c r="K7" s="6" t="s">
        <v>42</v>
      </c>
      <c r="L7" s="6" t="s">
        <v>56</v>
      </c>
      <c r="M7" s="6" t="s">
        <v>29</v>
      </c>
      <c r="N7" s="6" t="s">
        <v>57</v>
      </c>
      <c r="O7" s="6" t="s">
        <v>58</v>
      </c>
      <c r="P7" s="6" t="s">
        <v>59</v>
      </c>
      <c r="Q7" s="6" t="s">
        <v>60</v>
      </c>
      <c r="R7" s="6">
        <v>1</v>
      </c>
      <c r="S7" s="6">
        <v>0</v>
      </c>
      <c r="T7" s="6">
        <v>0</v>
      </c>
      <c r="U7" s="6" t="s">
        <v>34</v>
      </c>
    </row>
    <row r="8" spans="1:24" ht="19.5" x14ac:dyDescent="0.7">
      <c r="A8" s="6" t="s">
        <v>61</v>
      </c>
      <c r="B8" s="6" t="s">
        <v>62</v>
      </c>
      <c r="C8" s="6" t="s">
        <v>63</v>
      </c>
      <c r="D8" s="12" t="s">
        <v>442</v>
      </c>
      <c r="E8" s="6" t="s">
        <v>23</v>
      </c>
      <c r="F8" s="6" t="s">
        <v>54</v>
      </c>
      <c r="G8" s="6" t="s">
        <v>23</v>
      </c>
      <c r="H8" s="6" t="s">
        <v>25</v>
      </c>
      <c r="I8" s="6" t="s">
        <v>25</v>
      </c>
      <c r="J8" s="6" t="s">
        <v>55</v>
      </c>
      <c r="K8" s="6" t="s">
        <v>42</v>
      </c>
      <c r="L8" s="6" t="s">
        <v>56</v>
      </c>
      <c r="M8" s="6" t="s">
        <v>29</v>
      </c>
      <c r="N8" s="6" t="s">
        <v>57</v>
      </c>
      <c r="O8" s="6" t="s">
        <v>58</v>
      </c>
      <c r="P8" s="6" t="s">
        <v>59</v>
      </c>
      <c r="Q8" s="6" t="s">
        <v>60</v>
      </c>
      <c r="R8" s="6">
        <v>1</v>
      </c>
      <c r="S8" s="6">
        <v>0</v>
      </c>
      <c r="T8" s="6">
        <v>0</v>
      </c>
      <c r="U8" s="6" t="s">
        <v>34</v>
      </c>
    </row>
    <row r="9" spans="1:24" ht="19.5" x14ac:dyDescent="0.7">
      <c r="A9" s="6" t="s">
        <v>64</v>
      </c>
      <c r="B9" s="6" t="s">
        <v>65</v>
      </c>
      <c r="C9" s="6" t="s">
        <v>66</v>
      </c>
      <c r="D9" s="12" t="s">
        <v>441</v>
      </c>
      <c r="E9" s="6" t="s">
        <v>23</v>
      </c>
      <c r="F9" s="6" t="s">
        <v>54</v>
      </c>
      <c r="G9" s="6" t="s">
        <v>23</v>
      </c>
      <c r="H9" s="6" t="s">
        <v>25</v>
      </c>
      <c r="I9" s="6" t="s">
        <v>25</v>
      </c>
      <c r="J9" s="6" t="s">
        <v>55</v>
      </c>
      <c r="K9" s="6" t="s">
        <v>42</v>
      </c>
      <c r="L9" s="6" t="s">
        <v>56</v>
      </c>
      <c r="M9" s="6" t="s">
        <v>29</v>
      </c>
      <c r="N9" s="6" t="s">
        <v>57</v>
      </c>
      <c r="O9" s="6" t="s">
        <v>58</v>
      </c>
      <c r="P9" s="6" t="s">
        <v>59</v>
      </c>
      <c r="Q9" s="6" t="s">
        <v>60</v>
      </c>
      <c r="R9" s="6">
        <v>1</v>
      </c>
      <c r="S9" s="6">
        <v>0</v>
      </c>
      <c r="T9" s="6">
        <v>0</v>
      </c>
      <c r="U9" s="6" t="s">
        <v>34</v>
      </c>
    </row>
    <row r="10" spans="1:24" ht="19.5" x14ac:dyDescent="0.7">
      <c r="A10" s="6" t="s">
        <v>67</v>
      </c>
      <c r="B10" s="6" t="s">
        <v>68</v>
      </c>
      <c r="C10" s="6" t="s">
        <v>69</v>
      </c>
      <c r="D10" s="12" t="s">
        <v>442</v>
      </c>
      <c r="E10" s="6" t="s">
        <v>23</v>
      </c>
      <c r="F10" s="6" t="s">
        <v>54</v>
      </c>
      <c r="G10" s="6" t="s">
        <v>23</v>
      </c>
      <c r="H10" s="6" t="s">
        <v>25</v>
      </c>
      <c r="I10" s="6" t="s">
        <v>25</v>
      </c>
      <c r="J10" s="6" t="s">
        <v>55</v>
      </c>
      <c r="K10" s="6" t="s">
        <v>42</v>
      </c>
      <c r="L10" s="6" t="s">
        <v>56</v>
      </c>
      <c r="M10" s="6" t="s">
        <v>29</v>
      </c>
      <c r="N10" s="6" t="s">
        <v>57</v>
      </c>
      <c r="O10" s="6" t="s">
        <v>58</v>
      </c>
      <c r="P10" s="6" t="s">
        <v>59</v>
      </c>
      <c r="Q10" s="6" t="s">
        <v>60</v>
      </c>
      <c r="R10" s="6">
        <v>1</v>
      </c>
      <c r="S10" s="6">
        <v>0</v>
      </c>
      <c r="T10" s="6">
        <v>0</v>
      </c>
      <c r="U10" s="6" t="s">
        <v>34</v>
      </c>
    </row>
    <row r="11" spans="1:24" ht="19.5" x14ac:dyDescent="0.7">
      <c r="A11" s="6" t="s">
        <v>70</v>
      </c>
      <c r="B11" s="6" t="s">
        <v>71</v>
      </c>
      <c r="C11" s="6" t="s">
        <v>72</v>
      </c>
      <c r="D11" s="12" t="s">
        <v>441</v>
      </c>
      <c r="E11" s="6" t="s">
        <v>23</v>
      </c>
      <c r="F11" s="6" t="s">
        <v>54</v>
      </c>
      <c r="G11" s="6" t="s">
        <v>23</v>
      </c>
      <c r="H11" s="6" t="s">
        <v>25</v>
      </c>
      <c r="I11" s="6" t="s">
        <v>25</v>
      </c>
      <c r="J11" s="6" t="s">
        <v>26</v>
      </c>
      <c r="K11" s="6" t="s">
        <v>27</v>
      </c>
      <c r="L11" s="6" t="s">
        <v>56</v>
      </c>
      <c r="M11" s="6" t="s">
        <v>29</v>
      </c>
      <c r="N11" s="6" t="s">
        <v>57</v>
      </c>
      <c r="O11" s="6" t="s">
        <v>58</v>
      </c>
      <c r="P11" s="6" t="s">
        <v>59</v>
      </c>
      <c r="Q11" s="6" t="s">
        <v>60</v>
      </c>
      <c r="R11" s="6">
        <v>1</v>
      </c>
      <c r="S11" s="6">
        <v>1</v>
      </c>
      <c r="T11" s="6">
        <v>1</v>
      </c>
      <c r="U11" s="6" t="s">
        <v>34</v>
      </c>
    </row>
    <row r="12" spans="1:24" ht="19.5" x14ac:dyDescent="0.7">
      <c r="A12" s="6" t="s">
        <v>73</v>
      </c>
      <c r="B12" s="6" t="s">
        <v>74</v>
      </c>
      <c r="C12" s="6" t="s">
        <v>75</v>
      </c>
      <c r="D12" s="12" t="s">
        <v>442</v>
      </c>
      <c r="E12" s="6" t="s">
        <v>23</v>
      </c>
      <c r="F12" s="6" t="s">
        <v>54</v>
      </c>
      <c r="G12" s="6" t="s">
        <v>23</v>
      </c>
      <c r="H12" s="6" t="s">
        <v>46</v>
      </c>
      <c r="I12" s="6" t="s">
        <v>47</v>
      </c>
      <c r="J12" s="6" t="s">
        <v>23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>
        <v>0</v>
      </c>
      <c r="Q12" s="6">
        <v>0</v>
      </c>
      <c r="R12" s="6">
        <v>0</v>
      </c>
      <c r="S12" s="6" t="s">
        <v>34</v>
      </c>
      <c r="T12" s="6"/>
      <c r="U12" s="6"/>
    </row>
    <row r="13" spans="1:24" ht="19.5" x14ac:dyDescent="0.7">
      <c r="A13" s="6" t="s">
        <v>76</v>
      </c>
      <c r="B13" s="6" t="s">
        <v>77</v>
      </c>
      <c r="C13" s="6" t="s">
        <v>78</v>
      </c>
      <c r="D13" s="12" t="s">
        <v>441</v>
      </c>
      <c r="E13" s="6" t="s">
        <v>23</v>
      </c>
      <c r="F13" s="6" t="s">
        <v>54</v>
      </c>
      <c r="G13" s="6" t="s">
        <v>23</v>
      </c>
      <c r="H13" s="6" t="s">
        <v>46</v>
      </c>
      <c r="I13" s="6" t="s">
        <v>47</v>
      </c>
      <c r="J13" s="6" t="s">
        <v>23</v>
      </c>
      <c r="K13" s="6" t="s">
        <v>23</v>
      </c>
      <c r="L13" s="6" t="s">
        <v>23</v>
      </c>
      <c r="M13" s="6" t="s">
        <v>23</v>
      </c>
      <c r="N13" s="6" t="s">
        <v>23</v>
      </c>
      <c r="O13" s="6" t="s">
        <v>23</v>
      </c>
      <c r="P13" s="6">
        <v>0</v>
      </c>
      <c r="Q13" s="6">
        <v>0</v>
      </c>
      <c r="R13" s="6">
        <v>0</v>
      </c>
      <c r="S13" s="6" t="s">
        <v>34</v>
      </c>
      <c r="T13" s="6"/>
      <c r="U13" s="6"/>
    </row>
    <row r="14" spans="1:24" ht="19.5" x14ac:dyDescent="0.7">
      <c r="A14" s="6" t="s">
        <v>79</v>
      </c>
      <c r="B14" s="6" t="s">
        <v>80</v>
      </c>
      <c r="C14" s="6" t="s">
        <v>81</v>
      </c>
      <c r="D14" s="12" t="s">
        <v>442</v>
      </c>
      <c r="E14" s="6" t="s">
        <v>23</v>
      </c>
      <c r="F14" s="6" t="s">
        <v>54</v>
      </c>
      <c r="G14" s="6" t="s">
        <v>23</v>
      </c>
      <c r="H14" s="6" t="s">
        <v>46</v>
      </c>
      <c r="I14" s="6" t="s">
        <v>47</v>
      </c>
      <c r="J14" s="6" t="s">
        <v>23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  <c r="P14" s="6">
        <v>0</v>
      </c>
      <c r="Q14" s="6">
        <v>0</v>
      </c>
      <c r="R14" s="6">
        <v>0</v>
      </c>
      <c r="S14" s="6" t="s">
        <v>34</v>
      </c>
      <c r="T14" s="6"/>
      <c r="U14" s="6"/>
    </row>
    <row r="15" spans="1:24" ht="19.5" x14ac:dyDescent="0.7">
      <c r="A15" s="6" t="s">
        <v>82</v>
      </c>
      <c r="B15" s="6" t="s">
        <v>83</v>
      </c>
      <c r="C15" s="6" t="s">
        <v>84</v>
      </c>
      <c r="D15" s="12" t="s">
        <v>441</v>
      </c>
      <c r="E15" s="6" t="s">
        <v>23</v>
      </c>
      <c r="F15" s="6" t="s">
        <v>85</v>
      </c>
      <c r="G15" s="6" t="s">
        <v>23</v>
      </c>
      <c r="H15" s="6" t="s">
        <v>25</v>
      </c>
      <c r="I15" s="6" t="s">
        <v>25</v>
      </c>
      <c r="J15" s="6" t="s">
        <v>26</v>
      </c>
      <c r="K15" s="6" t="s">
        <v>27</v>
      </c>
      <c r="L15" s="6" t="s">
        <v>86</v>
      </c>
      <c r="M15" s="6" t="s">
        <v>29</v>
      </c>
      <c r="N15" s="6" t="s">
        <v>87</v>
      </c>
      <c r="O15" s="6" t="s">
        <v>88</v>
      </c>
      <c r="P15" s="6" t="s">
        <v>89</v>
      </c>
      <c r="Q15" s="6" t="s">
        <v>90</v>
      </c>
      <c r="R15" s="6">
        <v>1</v>
      </c>
      <c r="S15" s="6">
        <v>1</v>
      </c>
      <c r="T15" s="6">
        <v>1</v>
      </c>
      <c r="U15" s="6" t="s">
        <v>34</v>
      </c>
    </row>
    <row r="16" spans="1:24" ht="19.5" x14ac:dyDescent="0.7">
      <c r="A16" s="6" t="s">
        <v>91</v>
      </c>
      <c r="B16" s="6" t="s">
        <v>92</v>
      </c>
      <c r="C16" s="6" t="s">
        <v>93</v>
      </c>
      <c r="D16" s="12" t="s">
        <v>442</v>
      </c>
      <c r="E16" s="6" t="s">
        <v>23</v>
      </c>
      <c r="F16" s="6" t="s">
        <v>85</v>
      </c>
      <c r="G16" s="6" t="s">
        <v>23</v>
      </c>
      <c r="H16" s="6" t="s">
        <v>25</v>
      </c>
      <c r="I16" s="6" t="s">
        <v>25</v>
      </c>
      <c r="J16" s="6" t="s">
        <v>26</v>
      </c>
      <c r="K16" s="6" t="s">
        <v>27</v>
      </c>
      <c r="L16" s="6" t="s">
        <v>86</v>
      </c>
      <c r="M16" s="6" t="s">
        <v>29</v>
      </c>
      <c r="N16" s="6" t="s">
        <v>87</v>
      </c>
      <c r="O16" s="6" t="s">
        <v>88</v>
      </c>
      <c r="P16" s="6" t="s">
        <v>89</v>
      </c>
      <c r="Q16" s="6" t="s">
        <v>90</v>
      </c>
      <c r="R16" s="6">
        <v>1</v>
      </c>
      <c r="S16" s="6">
        <v>1</v>
      </c>
      <c r="T16" s="6">
        <v>1</v>
      </c>
      <c r="U16" s="6" t="s">
        <v>34</v>
      </c>
    </row>
    <row r="17" spans="1:21" ht="19.5" x14ac:dyDescent="0.7">
      <c r="A17" s="6" t="s">
        <v>94</v>
      </c>
      <c r="B17" s="6" t="s">
        <v>95</v>
      </c>
      <c r="C17" s="6" t="s">
        <v>96</v>
      </c>
      <c r="D17" s="12" t="s">
        <v>441</v>
      </c>
      <c r="E17" s="6" t="s">
        <v>23</v>
      </c>
      <c r="F17" s="6" t="s">
        <v>85</v>
      </c>
      <c r="G17" s="6" t="s">
        <v>23</v>
      </c>
      <c r="H17" s="6" t="s">
        <v>25</v>
      </c>
      <c r="I17" s="6" t="s">
        <v>25</v>
      </c>
      <c r="J17" s="6" t="s">
        <v>26</v>
      </c>
      <c r="K17" s="6" t="s">
        <v>27</v>
      </c>
      <c r="L17" s="6" t="s">
        <v>86</v>
      </c>
      <c r="M17" s="6" t="s">
        <v>29</v>
      </c>
      <c r="N17" s="6" t="s">
        <v>87</v>
      </c>
      <c r="O17" s="6" t="s">
        <v>88</v>
      </c>
      <c r="P17" s="6" t="s">
        <v>89</v>
      </c>
      <c r="Q17" s="6" t="s">
        <v>90</v>
      </c>
      <c r="R17" s="6">
        <v>1</v>
      </c>
      <c r="S17" s="6">
        <v>1</v>
      </c>
      <c r="T17" s="6">
        <v>1</v>
      </c>
      <c r="U17" s="6" t="s">
        <v>34</v>
      </c>
    </row>
    <row r="18" spans="1:21" ht="19.5" x14ac:dyDescent="0.7">
      <c r="A18" s="6" t="s">
        <v>97</v>
      </c>
      <c r="B18" s="6" t="s">
        <v>98</v>
      </c>
      <c r="C18" s="6" t="s">
        <v>99</v>
      </c>
      <c r="D18" s="12" t="s">
        <v>442</v>
      </c>
      <c r="E18" s="6" t="s">
        <v>23</v>
      </c>
      <c r="F18" s="6" t="s">
        <v>85</v>
      </c>
      <c r="G18" s="6" t="s">
        <v>23</v>
      </c>
      <c r="H18" s="6" t="s">
        <v>25</v>
      </c>
      <c r="I18" s="6" t="s">
        <v>25</v>
      </c>
      <c r="J18" s="6" t="s">
        <v>26</v>
      </c>
      <c r="K18" s="6" t="s">
        <v>27</v>
      </c>
      <c r="L18" s="6" t="s">
        <v>86</v>
      </c>
      <c r="M18" s="6" t="s">
        <v>29</v>
      </c>
      <c r="N18" s="6" t="s">
        <v>87</v>
      </c>
      <c r="O18" s="6" t="s">
        <v>88</v>
      </c>
      <c r="P18" s="6" t="s">
        <v>89</v>
      </c>
      <c r="Q18" s="6" t="s">
        <v>90</v>
      </c>
      <c r="R18" s="6">
        <v>1</v>
      </c>
      <c r="S18" s="6">
        <v>1</v>
      </c>
      <c r="T18" s="6">
        <v>1</v>
      </c>
      <c r="U18" s="6" t="s">
        <v>34</v>
      </c>
    </row>
    <row r="19" spans="1:21" ht="19.5" x14ac:dyDescent="0.7">
      <c r="A19" s="6" t="s">
        <v>100</v>
      </c>
      <c r="B19" s="6" t="s">
        <v>101</v>
      </c>
      <c r="C19" s="6" t="s">
        <v>102</v>
      </c>
      <c r="D19" s="12" t="s">
        <v>441</v>
      </c>
      <c r="E19" s="6" t="s">
        <v>23</v>
      </c>
      <c r="F19" s="6" t="s">
        <v>85</v>
      </c>
      <c r="G19" s="6" t="s">
        <v>23</v>
      </c>
      <c r="H19" s="6" t="s">
        <v>25</v>
      </c>
      <c r="I19" s="6" t="s">
        <v>25</v>
      </c>
      <c r="J19" s="6" t="s">
        <v>26</v>
      </c>
      <c r="K19" s="6" t="s">
        <v>27</v>
      </c>
      <c r="L19" s="6" t="s">
        <v>86</v>
      </c>
      <c r="M19" s="6" t="s">
        <v>29</v>
      </c>
      <c r="N19" s="6" t="s">
        <v>87</v>
      </c>
      <c r="O19" s="6" t="s">
        <v>88</v>
      </c>
      <c r="P19" s="6" t="s">
        <v>89</v>
      </c>
      <c r="Q19" s="6" t="s">
        <v>90</v>
      </c>
      <c r="R19" s="6">
        <v>1</v>
      </c>
      <c r="S19" s="6">
        <v>1</v>
      </c>
      <c r="T19" s="6">
        <v>1</v>
      </c>
      <c r="U19" s="6" t="s">
        <v>34</v>
      </c>
    </row>
    <row r="20" spans="1:21" ht="19.5" x14ac:dyDescent="0.7">
      <c r="A20" s="6" t="s">
        <v>103</v>
      </c>
      <c r="B20" s="6" t="s">
        <v>104</v>
      </c>
      <c r="C20" s="6" t="s">
        <v>105</v>
      </c>
      <c r="D20" s="12" t="s">
        <v>442</v>
      </c>
      <c r="E20" s="6" t="s">
        <v>23</v>
      </c>
      <c r="F20" s="6" t="s">
        <v>85</v>
      </c>
      <c r="G20" s="6" t="s">
        <v>23</v>
      </c>
      <c r="H20" s="6" t="s">
        <v>25</v>
      </c>
      <c r="I20" s="6" t="s">
        <v>25</v>
      </c>
      <c r="J20" s="6" t="s">
        <v>26</v>
      </c>
      <c r="K20" s="6" t="s">
        <v>27</v>
      </c>
      <c r="L20" s="6" t="s">
        <v>86</v>
      </c>
      <c r="M20" s="6" t="s">
        <v>29</v>
      </c>
      <c r="N20" s="6" t="s">
        <v>87</v>
      </c>
      <c r="O20" s="6" t="s">
        <v>88</v>
      </c>
      <c r="P20" s="6" t="s">
        <v>89</v>
      </c>
      <c r="Q20" s="6" t="s">
        <v>90</v>
      </c>
      <c r="R20" s="6">
        <v>1</v>
      </c>
      <c r="S20" s="6">
        <v>1</v>
      </c>
      <c r="T20" s="6">
        <v>1</v>
      </c>
      <c r="U20" s="6" t="s">
        <v>34</v>
      </c>
    </row>
    <row r="21" spans="1:21" ht="19.5" x14ac:dyDescent="0.7">
      <c r="A21" s="6" t="s">
        <v>106</v>
      </c>
      <c r="B21" s="6" t="s">
        <v>107</v>
      </c>
      <c r="C21" s="6" t="s">
        <v>108</v>
      </c>
      <c r="D21" s="12" t="s">
        <v>441</v>
      </c>
      <c r="E21" s="6" t="s">
        <v>23</v>
      </c>
      <c r="F21" s="6" t="s">
        <v>85</v>
      </c>
      <c r="G21" s="6" t="s">
        <v>23</v>
      </c>
      <c r="H21" s="6" t="s">
        <v>25</v>
      </c>
      <c r="I21" s="6" t="s">
        <v>25</v>
      </c>
      <c r="J21" s="6" t="s">
        <v>41</v>
      </c>
      <c r="K21" s="6" t="s">
        <v>42</v>
      </c>
      <c r="L21" s="6" t="s">
        <v>86</v>
      </c>
      <c r="M21" s="6" t="s">
        <v>29</v>
      </c>
      <c r="N21" s="6" t="s">
        <v>87</v>
      </c>
      <c r="O21" s="6" t="s">
        <v>88</v>
      </c>
      <c r="P21" s="6" t="s">
        <v>89</v>
      </c>
      <c r="Q21" s="6" t="s">
        <v>90</v>
      </c>
      <c r="R21" s="6">
        <v>1</v>
      </c>
      <c r="S21" s="6">
        <v>0</v>
      </c>
      <c r="T21" s="6">
        <v>0</v>
      </c>
      <c r="U21" s="6" t="s">
        <v>34</v>
      </c>
    </row>
    <row r="22" spans="1:21" ht="19.5" x14ac:dyDescent="0.7">
      <c r="A22" s="6" t="s">
        <v>109</v>
      </c>
      <c r="B22" s="6" t="s">
        <v>110</v>
      </c>
      <c r="C22" s="6" t="s">
        <v>111</v>
      </c>
      <c r="D22" s="12" t="s">
        <v>442</v>
      </c>
      <c r="E22" s="6" t="s">
        <v>23</v>
      </c>
      <c r="F22" s="6" t="s">
        <v>85</v>
      </c>
      <c r="G22" s="6" t="s">
        <v>23</v>
      </c>
      <c r="H22" s="6" t="s">
        <v>25</v>
      </c>
      <c r="I22" s="6" t="s">
        <v>25</v>
      </c>
      <c r="J22" s="6" t="s">
        <v>41</v>
      </c>
      <c r="K22" s="6" t="s">
        <v>42</v>
      </c>
      <c r="L22" s="6" t="s">
        <v>86</v>
      </c>
      <c r="M22" s="6" t="s">
        <v>29</v>
      </c>
      <c r="N22" s="6" t="s">
        <v>87</v>
      </c>
      <c r="O22" s="6" t="s">
        <v>88</v>
      </c>
      <c r="P22" s="6" t="s">
        <v>89</v>
      </c>
      <c r="Q22" s="6" t="s">
        <v>90</v>
      </c>
      <c r="R22" s="6">
        <v>1</v>
      </c>
      <c r="S22" s="6">
        <v>0</v>
      </c>
      <c r="T22" s="6">
        <v>0</v>
      </c>
      <c r="U22" s="6" t="s">
        <v>34</v>
      </c>
    </row>
    <row r="23" spans="1:21" ht="19.5" x14ac:dyDescent="0.7">
      <c r="A23" s="6" t="s">
        <v>112</v>
      </c>
      <c r="B23" s="6" t="s">
        <v>113</v>
      </c>
      <c r="C23" s="6" t="s">
        <v>114</v>
      </c>
      <c r="D23" s="12" t="s">
        <v>441</v>
      </c>
      <c r="E23" s="6" t="s">
        <v>23</v>
      </c>
      <c r="F23" s="6" t="s">
        <v>85</v>
      </c>
      <c r="G23" s="6" t="s">
        <v>23</v>
      </c>
      <c r="H23" s="6" t="s">
        <v>25</v>
      </c>
      <c r="I23" s="6" t="s">
        <v>25</v>
      </c>
      <c r="J23" s="6" t="s">
        <v>41</v>
      </c>
      <c r="K23" s="6" t="s">
        <v>42</v>
      </c>
      <c r="L23" s="6" t="s">
        <v>86</v>
      </c>
      <c r="M23" s="6" t="s">
        <v>29</v>
      </c>
      <c r="N23" s="6" t="s">
        <v>87</v>
      </c>
      <c r="O23" s="6" t="s">
        <v>88</v>
      </c>
      <c r="P23" s="6" t="s">
        <v>89</v>
      </c>
      <c r="Q23" s="6" t="s">
        <v>90</v>
      </c>
      <c r="R23" s="6">
        <v>1</v>
      </c>
      <c r="S23" s="6">
        <v>0</v>
      </c>
      <c r="T23" s="6">
        <v>0</v>
      </c>
      <c r="U23" s="6" t="s">
        <v>34</v>
      </c>
    </row>
    <row r="24" spans="1:21" ht="19.5" x14ac:dyDescent="0.7">
      <c r="A24" s="6" t="s">
        <v>115</v>
      </c>
      <c r="B24" s="6" t="s">
        <v>116</v>
      </c>
      <c r="C24" s="6" t="s">
        <v>117</v>
      </c>
      <c r="D24" s="12" t="s">
        <v>442</v>
      </c>
      <c r="E24" s="6" t="s">
        <v>23</v>
      </c>
      <c r="F24" s="6" t="s">
        <v>85</v>
      </c>
      <c r="G24" s="6" t="s">
        <v>23</v>
      </c>
      <c r="H24" s="6" t="s">
        <v>25</v>
      </c>
      <c r="I24" s="6" t="s">
        <v>25</v>
      </c>
      <c r="J24" s="6" t="s">
        <v>26</v>
      </c>
      <c r="K24" s="6" t="s">
        <v>27</v>
      </c>
      <c r="L24" s="6" t="s">
        <v>86</v>
      </c>
      <c r="M24" s="6" t="s">
        <v>29</v>
      </c>
      <c r="N24" s="6" t="s">
        <v>87</v>
      </c>
      <c r="O24" s="6" t="s">
        <v>88</v>
      </c>
      <c r="P24" s="6" t="s">
        <v>89</v>
      </c>
      <c r="Q24" s="6" t="s">
        <v>90</v>
      </c>
      <c r="R24" s="6">
        <v>1</v>
      </c>
      <c r="S24" s="6">
        <v>1</v>
      </c>
      <c r="T24" s="6">
        <v>1</v>
      </c>
      <c r="U24" s="6" t="s">
        <v>34</v>
      </c>
    </row>
    <row r="25" spans="1:21" ht="19.5" x14ac:dyDescent="0.7">
      <c r="A25" s="6" t="s">
        <v>118</v>
      </c>
      <c r="B25" s="6" t="s">
        <v>119</v>
      </c>
      <c r="C25" s="6" t="s">
        <v>120</v>
      </c>
      <c r="D25" s="12" t="s">
        <v>441</v>
      </c>
      <c r="E25" s="6" t="s">
        <v>23</v>
      </c>
      <c r="F25" s="6" t="s">
        <v>54</v>
      </c>
      <c r="G25" s="6" t="s">
        <v>23</v>
      </c>
      <c r="H25" s="6" t="s">
        <v>25</v>
      </c>
      <c r="I25" s="6" t="s">
        <v>25</v>
      </c>
      <c r="J25" s="6" t="s">
        <v>26</v>
      </c>
      <c r="K25" s="6" t="s">
        <v>27</v>
      </c>
      <c r="L25" s="6" t="s">
        <v>56</v>
      </c>
      <c r="M25" s="6" t="s">
        <v>29</v>
      </c>
      <c r="N25" s="6" t="s">
        <v>57</v>
      </c>
      <c r="O25" s="6" t="s">
        <v>58</v>
      </c>
      <c r="P25" s="6" t="s">
        <v>59</v>
      </c>
      <c r="Q25" s="6" t="s">
        <v>60</v>
      </c>
      <c r="R25" s="6">
        <v>1</v>
      </c>
      <c r="S25" s="6">
        <v>1</v>
      </c>
      <c r="T25" s="6">
        <v>1</v>
      </c>
      <c r="U25" s="6" t="s">
        <v>34</v>
      </c>
    </row>
    <row r="26" spans="1:21" ht="19.5" x14ac:dyDescent="0.7">
      <c r="A26" s="6" t="s">
        <v>121</v>
      </c>
      <c r="B26" s="6" t="s">
        <v>122</v>
      </c>
      <c r="C26" s="6" t="s">
        <v>123</v>
      </c>
      <c r="D26" s="12" t="s">
        <v>441</v>
      </c>
      <c r="E26" s="6" t="s">
        <v>23</v>
      </c>
      <c r="F26" s="6" t="s">
        <v>54</v>
      </c>
      <c r="G26" s="6" t="s">
        <v>23</v>
      </c>
      <c r="H26" s="6" t="s">
        <v>25</v>
      </c>
      <c r="I26" s="6" t="s">
        <v>25</v>
      </c>
      <c r="J26" s="6" t="s">
        <v>26</v>
      </c>
      <c r="K26" s="6" t="s">
        <v>27</v>
      </c>
      <c r="L26" s="6" t="s">
        <v>86</v>
      </c>
      <c r="M26" s="6" t="s">
        <v>29</v>
      </c>
      <c r="N26" s="6" t="s">
        <v>87</v>
      </c>
      <c r="O26" s="6" t="s">
        <v>88</v>
      </c>
      <c r="P26" s="6" t="s">
        <v>89</v>
      </c>
      <c r="Q26" s="6" t="s">
        <v>90</v>
      </c>
      <c r="R26" s="6">
        <v>1</v>
      </c>
      <c r="S26" s="6">
        <v>1</v>
      </c>
      <c r="T26" s="6">
        <v>1</v>
      </c>
      <c r="U26" s="6" t="s">
        <v>34</v>
      </c>
    </row>
    <row r="27" spans="1:21" ht="19.5" x14ac:dyDescent="0.7">
      <c r="A27" s="6" t="s">
        <v>124</v>
      </c>
      <c r="B27" s="6" t="s">
        <v>125</v>
      </c>
      <c r="C27" s="6" t="s">
        <v>126</v>
      </c>
      <c r="D27" s="12" t="s">
        <v>442</v>
      </c>
      <c r="E27" s="6" t="s">
        <v>23</v>
      </c>
      <c r="F27" s="6" t="s">
        <v>54</v>
      </c>
      <c r="G27" s="6" t="s">
        <v>23</v>
      </c>
      <c r="H27" s="6" t="s">
        <v>25</v>
      </c>
      <c r="I27" s="6" t="s">
        <v>25</v>
      </c>
      <c r="J27" s="6" t="s">
        <v>26</v>
      </c>
      <c r="K27" s="6" t="s">
        <v>27</v>
      </c>
      <c r="L27" s="6" t="s">
        <v>127</v>
      </c>
      <c r="M27" s="6" t="s">
        <v>128</v>
      </c>
      <c r="N27" s="6" t="s">
        <v>57</v>
      </c>
      <c r="O27" s="6" t="s">
        <v>88</v>
      </c>
      <c r="P27" s="6" t="s">
        <v>89</v>
      </c>
      <c r="Q27" s="6" t="s">
        <v>129</v>
      </c>
      <c r="R27" s="6">
        <v>1</v>
      </c>
      <c r="S27" s="6">
        <v>1</v>
      </c>
      <c r="T27" s="6">
        <v>1</v>
      </c>
      <c r="U27" s="6" t="s">
        <v>34</v>
      </c>
    </row>
    <row r="28" spans="1:21" ht="19.5" x14ac:dyDescent="0.7">
      <c r="A28" s="6" t="s">
        <v>130</v>
      </c>
      <c r="B28" s="6" t="s">
        <v>131</v>
      </c>
      <c r="C28" s="6" t="s">
        <v>132</v>
      </c>
      <c r="D28" s="12" t="s">
        <v>442</v>
      </c>
      <c r="E28" s="6" t="s">
        <v>23</v>
      </c>
      <c r="F28" s="6" t="s">
        <v>54</v>
      </c>
      <c r="G28" s="6" t="s">
        <v>23</v>
      </c>
      <c r="H28" s="6" t="s">
        <v>25</v>
      </c>
      <c r="I28" s="6" t="s">
        <v>25</v>
      </c>
      <c r="J28" s="6" t="s">
        <v>26</v>
      </c>
      <c r="K28" s="6" t="s">
        <v>27</v>
      </c>
      <c r="L28" s="6" t="s">
        <v>127</v>
      </c>
      <c r="M28" s="6" t="s">
        <v>128</v>
      </c>
      <c r="N28" s="6" t="s">
        <v>57</v>
      </c>
      <c r="O28" s="6" t="s">
        <v>88</v>
      </c>
      <c r="P28" s="6" t="s">
        <v>89</v>
      </c>
      <c r="Q28" s="6" t="s">
        <v>129</v>
      </c>
      <c r="R28" s="6">
        <v>1</v>
      </c>
      <c r="S28" s="6">
        <v>1</v>
      </c>
      <c r="T28" s="6">
        <v>1</v>
      </c>
      <c r="U28" s="6" t="s">
        <v>34</v>
      </c>
    </row>
    <row r="29" spans="1:21" ht="19.5" x14ac:dyDescent="0.7">
      <c r="A29" s="6" t="s">
        <v>133</v>
      </c>
      <c r="B29" s="6" t="s">
        <v>134</v>
      </c>
      <c r="C29" s="6" t="s">
        <v>135</v>
      </c>
      <c r="D29" s="12" t="s">
        <v>441</v>
      </c>
      <c r="E29" s="6" t="s">
        <v>23</v>
      </c>
      <c r="F29" s="6" t="s">
        <v>54</v>
      </c>
      <c r="G29" s="6" t="s">
        <v>23</v>
      </c>
      <c r="H29" s="6" t="s">
        <v>25</v>
      </c>
      <c r="I29" s="6" t="s">
        <v>25</v>
      </c>
      <c r="J29" s="6" t="s">
        <v>26</v>
      </c>
      <c r="K29" s="6" t="s">
        <v>27</v>
      </c>
      <c r="L29" s="6" t="s">
        <v>127</v>
      </c>
      <c r="M29" s="6" t="s">
        <v>128</v>
      </c>
      <c r="N29" s="6" t="s">
        <v>57</v>
      </c>
      <c r="O29" s="6" t="s">
        <v>88</v>
      </c>
      <c r="P29" s="6" t="s">
        <v>89</v>
      </c>
      <c r="Q29" s="6" t="s">
        <v>129</v>
      </c>
      <c r="R29" s="6">
        <v>1</v>
      </c>
      <c r="S29" s="6">
        <v>1</v>
      </c>
      <c r="T29" s="6">
        <v>1</v>
      </c>
      <c r="U29" s="6" t="s">
        <v>34</v>
      </c>
    </row>
    <row r="30" spans="1:21" ht="19.5" x14ac:dyDescent="0.7">
      <c r="A30" s="6" t="s">
        <v>136</v>
      </c>
      <c r="B30" s="6" t="s">
        <v>137</v>
      </c>
      <c r="C30" s="6" t="s">
        <v>138</v>
      </c>
      <c r="D30" s="12" t="s">
        <v>442</v>
      </c>
      <c r="E30" s="6" t="s">
        <v>23</v>
      </c>
      <c r="F30" s="6" t="s">
        <v>54</v>
      </c>
      <c r="G30" s="6" t="s">
        <v>23</v>
      </c>
      <c r="H30" s="6" t="s">
        <v>25</v>
      </c>
      <c r="I30" s="6" t="s">
        <v>25</v>
      </c>
      <c r="J30" s="6" t="s">
        <v>26</v>
      </c>
      <c r="K30" s="6" t="s">
        <v>27</v>
      </c>
      <c r="L30" s="6" t="s">
        <v>127</v>
      </c>
      <c r="M30" s="6" t="s">
        <v>128</v>
      </c>
      <c r="N30" s="6" t="s">
        <v>57</v>
      </c>
      <c r="O30" s="6" t="s">
        <v>88</v>
      </c>
      <c r="P30" s="6" t="s">
        <v>89</v>
      </c>
      <c r="Q30" s="6" t="s">
        <v>129</v>
      </c>
      <c r="R30" s="6">
        <v>1</v>
      </c>
      <c r="S30" s="6">
        <v>1</v>
      </c>
      <c r="T30" s="6">
        <v>1</v>
      </c>
      <c r="U30" s="6" t="s">
        <v>34</v>
      </c>
    </row>
    <row r="31" spans="1:21" ht="19.5" x14ac:dyDescent="0.7">
      <c r="A31" s="6" t="s">
        <v>139</v>
      </c>
      <c r="B31" s="6" t="s">
        <v>140</v>
      </c>
      <c r="C31" s="6" t="s">
        <v>141</v>
      </c>
      <c r="D31" s="12" t="s">
        <v>442</v>
      </c>
      <c r="E31" s="6" t="s">
        <v>23</v>
      </c>
      <c r="F31" s="6" t="s">
        <v>54</v>
      </c>
      <c r="G31" s="6" t="s">
        <v>23</v>
      </c>
      <c r="H31" s="6" t="s">
        <v>25</v>
      </c>
      <c r="I31" s="6" t="s">
        <v>25</v>
      </c>
      <c r="J31" s="6" t="s">
        <v>26</v>
      </c>
      <c r="K31" s="6" t="s">
        <v>27</v>
      </c>
      <c r="L31" s="6" t="s">
        <v>127</v>
      </c>
      <c r="M31" s="6" t="s">
        <v>128</v>
      </c>
      <c r="N31" s="6" t="s">
        <v>57</v>
      </c>
      <c r="O31" s="6" t="s">
        <v>88</v>
      </c>
      <c r="P31" s="6" t="s">
        <v>89</v>
      </c>
      <c r="Q31" s="6" t="s">
        <v>129</v>
      </c>
      <c r="R31" s="6">
        <v>1</v>
      </c>
      <c r="S31" s="6">
        <v>1</v>
      </c>
      <c r="T31" s="6">
        <v>1</v>
      </c>
      <c r="U31" s="6" t="s">
        <v>34</v>
      </c>
    </row>
    <row r="32" spans="1:21" ht="19.5" x14ac:dyDescent="0.7">
      <c r="A32" s="6" t="s">
        <v>142</v>
      </c>
      <c r="B32" s="6" t="s">
        <v>143</v>
      </c>
      <c r="C32" s="6" t="s">
        <v>144</v>
      </c>
      <c r="D32" s="12" t="s">
        <v>441</v>
      </c>
      <c r="E32" s="6" t="s">
        <v>23</v>
      </c>
      <c r="F32" s="6" t="s">
        <v>54</v>
      </c>
      <c r="G32" s="6" t="s">
        <v>23</v>
      </c>
      <c r="H32" s="6" t="s">
        <v>25</v>
      </c>
      <c r="I32" s="6" t="s">
        <v>25</v>
      </c>
      <c r="J32" s="6" t="s">
        <v>26</v>
      </c>
      <c r="K32" s="6" t="s">
        <v>27</v>
      </c>
      <c r="L32" s="6" t="s">
        <v>127</v>
      </c>
      <c r="M32" s="6" t="s">
        <v>128</v>
      </c>
      <c r="N32" s="6" t="s">
        <v>57</v>
      </c>
      <c r="O32" s="6" t="s">
        <v>88</v>
      </c>
      <c r="P32" s="6" t="s">
        <v>89</v>
      </c>
      <c r="Q32" s="6" t="s">
        <v>129</v>
      </c>
      <c r="R32" s="6">
        <v>1</v>
      </c>
      <c r="S32" s="6">
        <v>1</v>
      </c>
      <c r="T32" s="6">
        <v>1</v>
      </c>
      <c r="U32" s="6" t="s">
        <v>34</v>
      </c>
    </row>
    <row r="33" spans="1:21" ht="19.5" x14ac:dyDescent="0.7">
      <c r="A33" s="6" t="s">
        <v>145</v>
      </c>
      <c r="B33" s="6" t="s">
        <v>146</v>
      </c>
      <c r="C33" s="6" t="s">
        <v>147</v>
      </c>
      <c r="D33" s="12" t="s">
        <v>441</v>
      </c>
      <c r="E33" s="6" t="s">
        <v>23</v>
      </c>
      <c r="F33" s="6" t="s">
        <v>54</v>
      </c>
      <c r="G33" s="6" t="s">
        <v>23</v>
      </c>
      <c r="H33" s="6" t="s">
        <v>25</v>
      </c>
      <c r="I33" s="6" t="s">
        <v>25</v>
      </c>
      <c r="J33" s="6" t="s">
        <v>26</v>
      </c>
      <c r="K33" s="6" t="s">
        <v>27</v>
      </c>
      <c r="L33" s="6" t="s">
        <v>127</v>
      </c>
      <c r="M33" s="6" t="s">
        <v>128</v>
      </c>
      <c r="N33" s="6" t="s">
        <v>57</v>
      </c>
      <c r="O33" s="6" t="s">
        <v>88</v>
      </c>
      <c r="P33" s="6" t="s">
        <v>89</v>
      </c>
      <c r="Q33" s="6" t="s">
        <v>129</v>
      </c>
      <c r="R33" s="6">
        <v>1</v>
      </c>
      <c r="S33" s="6">
        <v>1</v>
      </c>
      <c r="T33" s="6">
        <v>1</v>
      </c>
      <c r="U33" s="6" t="s">
        <v>34</v>
      </c>
    </row>
    <row r="34" spans="1:21" ht="19.5" x14ac:dyDescent="0.7">
      <c r="A34" s="6" t="s">
        <v>148</v>
      </c>
      <c r="B34" s="6" t="s">
        <v>149</v>
      </c>
      <c r="C34" s="6" t="s">
        <v>150</v>
      </c>
      <c r="D34" s="12" t="s">
        <v>442</v>
      </c>
      <c r="E34" s="6" t="s">
        <v>23</v>
      </c>
      <c r="F34" s="6" t="s">
        <v>54</v>
      </c>
      <c r="G34" s="6" t="s">
        <v>23</v>
      </c>
      <c r="H34" s="6" t="s">
        <v>151</v>
      </c>
      <c r="I34" s="6" t="s">
        <v>151</v>
      </c>
      <c r="J34" s="6" t="s">
        <v>23</v>
      </c>
      <c r="K34" s="6" t="s">
        <v>23</v>
      </c>
      <c r="L34" s="6" t="s">
        <v>23</v>
      </c>
      <c r="M34" s="6" t="s">
        <v>23</v>
      </c>
      <c r="N34" s="6" t="s">
        <v>23</v>
      </c>
      <c r="O34" s="6" t="s">
        <v>23</v>
      </c>
      <c r="P34" s="6">
        <v>0</v>
      </c>
      <c r="Q34" s="6">
        <v>0</v>
      </c>
      <c r="R34" s="6">
        <v>0</v>
      </c>
      <c r="S34" s="6" t="s">
        <v>34</v>
      </c>
      <c r="T34" s="6"/>
      <c r="U34" s="6"/>
    </row>
    <row r="35" spans="1:21" ht="19.5" x14ac:dyDescent="0.7">
      <c r="A35" s="6" t="s">
        <v>152</v>
      </c>
      <c r="B35" s="6" t="s">
        <v>153</v>
      </c>
      <c r="C35" s="6" t="s">
        <v>154</v>
      </c>
      <c r="D35" s="12" t="s">
        <v>442</v>
      </c>
      <c r="E35" s="6" t="s">
        <v>23</v>
      </c>
      <c r="F35" s="6" t="s">
        <v>54</v>
      </c>
      <c r="G35" s="6" t="s">
        <v>23</v>
      </c>
      <c r="H35" s="6" t="s">
        <v>25</v>
      </c>
      <c r="I35" s="6" t="s">
        <v>25</v>
      </c>
      <c r="J35" s="6" t="s">
        <v>41</v>
      </c>
      <c r="K35" s="6" t="s">
        <v>42</v>
      </c>
      <c r="L35" s="6" t="s">
        <v>127</v>
      </c>
      <c r="M35" s="6" t="s">
        <v>128</v>
      </c>
      <c r="N35" s="6" t="s">
        <v>57</v>
      </c>
      <c r="O35" s="6" t="s">
        <v>88</v>
      </c>
      <c r="P35" s="6" t="s">
        <v>89</v>
      </c>
      <c r="Q35" s="6" t="s">
        <v>129</v>
      </c>
      <c r="R35" s="6">
        <v>1</v>
      </c>
      <c r="S35" s="6">
        <v>0</v>
      </c>
      <c r="T35" s="6">
        <v>0</v>
      </c>
      <c r="U35" s="6" t="s">
        <v>34</v>
      </c>
    </row>
    <row r="36" spans="1:21" ht="19.5" x14ac:dyDescent="0.7">
      <c r="A36" s="6" t="s">
        <v>155</v>
      </c>
      <c r="B36" s="6" t="s">
        <v>156</v>
      </c>
      <c r="C36" s="6" t="s">
        <v>157</v>
      </c>
      <c r="D36" s="12" t="s">
        <v>442</v>
      </c>
      <c r="E36" s="6" t="s">
        <v>23</v>
      </c>
      <c r="F36" s="6" t="s">
        <v>54</v>
      </c>
      <c r="G36" s="6" t="s">
        <v>23</v>
      </c>
      <c r="H36" s="6" t="s">
        <v>25</v>
      </c>
      <c r="I36" s="6" t="s">
        <v>25</v>
      </c>
      <c r="J36" s="6" t="s">
        <v>26</v>
      </c>
      <c r="K36" s="6" t="s">
        <v>27</v>
      </c>
      <c r="L36" s="6" t="s">
        <v>127</v>
      </c>
      <c r="M36" s="6" t="s">
        <v>128</v>
      </c>
      <c r="N36" s="6" t="s">
        <v>57</v>
      </c>
      <c r="O36" s="6" t="s">
        <v>88</v>
      </c>
      <c r="P36" s="6" t="s">
        <v>89</v>
      </c>
      <c r="Q36" s="6" t="s">
        <v>129</v>
      </c>
      <c r="R36" s="6">
        <v>1</v>
      </c>
      <c r="S36" s="6">
        <v>1</v>
      </c>
      <c r="T36" s="6">
        <v>1</v>
      </c>
      <c r="U36" s="6" t="s">
        <v>34</v>
      </c>
    </row>
    <row r="37" spans="1:21" ht="19.5" x14ac:dyDescent="0.7">
      <c r="A37" s="6" t="s">
        <v>158</v>
      </c>
      <c r="B37" s="6" t="s">
        <v>159</v>
      </c>
      <c r="C37" s="6" t="s">
        <v>160</v>
      </c>
      <c r="D37" s="12" t="s">
        <v>441</v>
      </c>
      <c r="E37" s="6" t="s">
        <v>23</v>
      </c>
      <c r="F37" s="6" t="s">
        <v>54</v>
      </c>
      <c r="G37" s="6" t="s">
        <v>23</v>
      </c>
      <c r="H37" s="6" t="s">
        <v>25</v>
      </c>
      <c r="I37" s="6" t="s">
        <v>25</v>
      </c>
      <c r="J37" s="6" t="s">
        <v>41</v>
      </c>
      <c r="K37" s="6" t="s">
        <v>42</v>
      </c>
      <c r="L37" s="6" t="s">
        <v>127</v>
      </c>
      <c r="M37" s="6" t="s">
        <v>128</v>
      </c>
      <c r="N37" s="6" t="s">
        <v>57</v>
      </c>
      <c r="O37" s="6" t="s">
        <v>88</v>
      </c>
      <c r="P37" s="6" t="s">
        <v>89</v>
      </c>
      <c r="Q37" s="6" t="s">
        <v>129</v>
      </c>
      <c r="R37" s="6">
        <v>1</v>
      </c>
      <c r="S37" s="6">
        <v>0</v>
      </c>
      <c r="T37" s="6">
        <v>0</v>
      </c>
      <c r="U37" s="6" t="s">
        <v>34</v>
      </c>
    </row>
    <row r="38" spans="1:21" ht="19.5" x14ac:dyDescent="0.7">
      <c r="A38" s="6" t="s">
        <v>161</v>
      </c>
      <c r="B38" s="6" t="s">
        <v>162</v>
      </c>
      <c r="C38" s="6" t="s">
        <v>163</v>
      </c>
      <c r="D38" s="12" t="s">
        <v>442</v>
      </c>
      <c r="E38" s="6" t="s">
        <v>23</v>
      </c>
      <c r="F38" s="6" t="s">
        <v>54</v>
      </c>
      <c r="G38" s="6" t="s">
        <v>23</v>
      </c>
      <c r="H38" s="6" t="s">
        <v>25</v>
      </c>
      <c r="I38" s="6" t="s">
        <v>25</v>
      </c>
      <c r="J38" s="6" t="s">
        <v>41</v>
      </c>
      <c r="K38" s="6" t="s">
        <v>42</v>
      </c>
      <c r="L38" s="6" t="s">
        <v>127</v>
      </c>
      <c r="M38" s="6" t="s">
        <v>128</v>
      </c>
      <c r="N38" s="6" t="s">
        <v>57</v>
      </c>
      <c r="O38" s="6" t="s">
        <v>88</v>
      </c>
      <c r="P38" s="6" t="s">
        <v>89</v>
      </c>
      <c r="Q38" s="6" t="s">
        <v>129</v>
      </c>
      <c r="R38" s="6">
        <v>1</v>
      </c>
      <c r="S38" s="6">
        <v>0</v>
      </c>
      <c r="T38" s="6">
        <v>0</v>
      </c>
      <c r="U38" s="6" t="s">
        <v>34</v>
      </c>
    </row>
    <row r="39" spans="1:21" ht="19.5" x14ac:dyDescent="0.7">
      <c r="A39" s="6" t="s">
        <v>164</v>
      </c>
      <c r="B39" s="6" t="s">
        <v>165</v>
      </c>
      <c r="C39" s="6" t="s">
        <v>166</v>
      </c>
      <c r="D39" s="12" t="s">
        <v>442</v>
      </c>
      <c r="E39" s="6" t="s">
        <v>23</v>
      </c>
      <c r="F39" s="6" t="s">
        <v>54</v>
      </c>
      <c r="G39" s="6" t="s">
        <v>23</v>
      </c>
      <c r="H39" s="6" t="s">
        <v>151</v>
      </c>
      <c r="I39" s="6" t="s">
        <v>151</v>
      </c>
      <c r="J39" s="6" t="s">
        <v>23</v>
      </c>
      <c r="K39" s="6" t="s">
        <v>23</v>
      </c>
      <c r="L39" s="6" t="s">
        <v>23</v>
      </c>
      <c r="M39" s="6" t="s">
        <v>23</v>
      </c>
      <c r="N39" s="6" t="s">
        <v>23</v>
      </c>
      <c r="O39" s="6" t="s">
        <v>23</v>
      </c>
      <c r="P39" s="6">
        <v>0</v>
      </c>
      <c r="Q39" s="6">
        <v>0</v>
      </c>
      <c r="R39" s="6">
        <v>0</v>
      </c>
      <c r="S39" s="6" t="s">
        <v>34</v>
      </c>
      <c r="T39" s="6"/>
      <c r="U39" s="6"/>
    </row>
    <row r="40" spans="1:21" ht="19.5" x14ac:dyDescent="0.7">
      <c r="A40" s="6" t="s">
        <v>167</v>
      </c>
      <c r="B40" s="6" t="s">
        <v>168</v>
      </c>
      <c r="C40" s="6" t="s">
        <v>169</v>
      </c>
      <c r="D40" s="12" t="s">
        <v>442</v>
      </c>
      <c r="E40" s="6" t="s">
        <v>23</v>
      </c>
      <c r="F40" s="6" t="s">
        <v>54</v>
      </c>
      <c r="G40" s="6" t="s">
        <v>23</v>
      </c>
      <c r="H40" s="6" t="s">
        <v>25</v>
      </c>
      <c r="I40" s="6" t="s">
        <v>25</v>
      </c>
      <c r="J40" s="6" t="s">
        <v>41</v>
      </c>
      <c r="K40" s="6" t="s">
        <v>42</v>
      </c>
      <c r="L40" s="6" t="s">
        <v>127</v>
      </c>
      <c r="M40" s="6" t="s">
        <v>128</v>
      </c>
      <c r="N40" s="6" t="s">
        <v>57</v>
      </c>
      <c r="O40" s="6" t="s">
        <v>88</v>
      </c>
      <c r="P40" s="6" t="s">
        <v>89</v>
      </c>
      <c r="Q40" s="6" t="s">
        <v>129</v>
      </c>
      <c r="R40" s="6">
        <v>1</v>
      </c>
      <c r="S40" s="6">
        <v>0</v>
      </c>
      <c r="T40" s="6">
        <v>0</v>
      </c>
      <c r="U40" s="6" t="s">
        <v>34</v>
      </c>
    </row>
    <row r="41" spans="1:21" ht="19.5" x14ac:dyDescent="0.7">
      <c r="A41" s="6" t="s">
        <v>170</v>
      </c>
      <c r="B41" s="6" t="s">
        <v>171</v>
      </c>
      <c r="C41" s="6" t="s">
        <v>172</v>
      </c>
      <c r="D41" s="12" t="s">
        <v>442</v>
      </c>
      <c r="E41" s="6" t="s">
        <v>23</v>
      </c>
      <c r="F41" s="6" t="s">
        <v>54</v>
      </c>
      <c r="G41" s="6" t="s">
        <v>23</v>
      </c>
      <c r="H41" s="6" t="s">
        <v>25</v>
      </c>
      <c r="I41" s="6" t="s">
        <v>25</v>
      </c>
      <c r="J41" s="6" t="s">
        <v>26</v>
      </c>
      <c r="K41" s="6" t="s">
        <v>27</v>
      </c>
      <c r="L41" s="6" t="s">
        <v>127</v>
      </c>
      <c r="M41" s="6" t="s">
        <v>128</v>
      </c>
      <c r="N41" s="6" t="s">
        <v>57</v>
      </c>
      <c r="O41" s="6" t="s">
        <v>88</v>
      </c>
      <c r="P41" s="6" t="s">
        <v>89</v>
      </c>
      <c r="Q41" s="6" t="s">
        <v>129</v>
      </c>
      <c r="R41" s="6">
        <v>1</v>
      </c>
      <c r="S41" s="6">
        <v>1</v>
      </c>
      <c r="T41" s="6">
        <v>1</v>
      </c>
      <c r="U41" s="6" t="s">
        <v>34</v>
      </c>
    </row>
    <row r="42" spans="1:21" ht="19.5" x14ac:dyDescent="0.7">
      <c r="A42" s="6" t="s">
        <v>173</v>
      </c>
      <c r="B42" s="6" t="s">
        <v>174</v>
      </c>
      <c r="C42" s="6" t="s">
        <v>175</v>
      </c>
      <c r="D42" s="12" t="s">
        <v>442</v>
      </c>
      <c r="E42" s="6" t="s">
        <v>23</v>
      </c>
      <c r="F42" s="6" t="s">
        <v>54</v>
      </c>
      <c r="G42" s="6" t="s">
        <v>23</v>
      </c>
      <c r="H42" s="6" t="s">
        <v>25</v>
      </c>
      <c r="I42" s="6" t="s">
        <v>25</v>
      </c>
      <c r="J42" s="6" t="s">
        <v>26</v>
      </c>
      <c r="K42" s="6" t="s">
        <v>27</v>
      </c>
      <c r="L42" s="6" t="s">
        <v>127</v>
      </c>
      <c r="M42" s="6" t="s">
        <v>128</v>
      </c>
      <c r="N42" s="6" t="s">
        <v>57</v>
      </c>
      <c r="O42" s="6" t="s">
        <v>88</v>
      </c>
      <c r="P42" s="6" t="s">
        <v>89</v>
      </c>
      <c r="Q42" s="6" t="s">
        <v>129</v>
      </c>
      <c r="R42" s="6">
        <v>1</v>
      </c>
      <c r="S42" s="6">
        <v>1</v>
      </c>
      <c r="T42" s="6">
        <v>1</v>
      </c>
      <c r="U42" s="6" t="s">
        <v>34</v>
      </c>
    </row>
    <row r="43" spans="1:21" ht="19.5" x14ac:dyDescent="0.7">
      <c r="A43" s="6" t="s">
        <v>176</v>
      </c>
      <c r="B43" s="6" t="s">
        <v>177</v>
      </c>
      <c r="C43" s="6" t="s">
        <v>178</v>
      </c>
      <c r="D43" s="12" t="s">
        <v>441</v>
      </c>
      <c r="E43" s="6" t="s">
        <v>23</v>
      </c>
      <c r="F43" s="6" t="s">
        <v>54</v>
      </c>
      <c r="G43" s="6" t="s">
        <v>23</v>
      </c>
      <c r="H43" s="6" t="s">
        <v>151</v>
      </c>
      <c r="I43" s="6" t="s">
        <v>151</v>
      </c>
      <c r="J43" s="6" t="s">
        <v>23</v>
      </c>
      <c r="K43" s="6" t="s">
        <v>23</v>
      </c>
      <c r="L43" s="6" t="s">
        <v>23</v>
      </c>
      <c r="M43" s="6" t="s">
        <v>23</v>
      </c>
      <c r="N43" s="6" t="s">
        <v>23</v>
      </c>
      <c r="O43" s="6" t="s">
        <v>23</v>
      </c>
      <c r="P43" s="6">
        <v>0</v>
      </c>
      <c r="Q43" s="6">
        <v>0</v>
      </c>
      <c r="R43" s="6">
        <v>0</v>
      </c>
      <c r="S43" s="6" t="s">
        <v>34</v>
      </c>
      <c r="T43" s="6"/>
      <c r="U43" s="6"/>
    </row>
    <row r="44" spans="1:21" ht="19.5" x14ac:dyDescent="0.7">
      <c r="A44" s="6" t="s">
        <v>179</v>
      </c>
      <c r="B44" s="6" t="s">
        <v>180</v>
      </c>
      <c r="C44" s="6" t="s">
        <v>181</v>
      </c>
      <c r="D44" s="12" t="s">
        <v>441</v>
      </c>
      <c r="E44" s="6" t="s">
        <v>23</v>
      </c>
      <c r="F44" s="6" t="s">
        <v>54</v>
      </c>
      <c r="G44" s="6" t="s">
        <v>23</v>
      </c>
      <c r="H44" s="6" t="s">
        <v>25</v>
      </c>
      <c r="I44" s="6" t="s">
        <v>25</v>
      </c>
      <c r="J44" s="6" t="s">
        <v>41</v>
      </c>
      <c r="K44" s="6" t="s">
        <v>42</v>
      </c>
      <c r="L44" s="6" t="s">
        <v>127</v>
      </c>
      <c r="M44" s="6" t="s">
        <v>128</v>
      </c>
      <c r="N44" s="6" t="s">
        <v>57</v>
      </c>
      <c r="O44" s="6" t="s">
        <v>88</v>
      </c>
      <c r="P44" s="6" t="s">
        <v>89</v>
      </c>
      <c r="Q44" s="6" t="s">
        <v>129</v>
      </c>
      <c r="R44" s="6">
        <v>1</v>
      </c>
      <c r="S44" s="6">
        <v>0</v>
      </c>
      <c r="T44" s="6">
        <v>0</v>
      </c>
      <c r="U44" s="6" t="s">
        <v>34</v>
      </c>
    </row>
    <row r="45" spans="1:21" ht="19.5" x14ac:dyDescent="0.7">
      <c r="A45" s="6" t="s">
        <v>182</v>
      </c>
      <c r="B45" s="6" t="s">
        <v>183</v>
      </c>
      <c r="C45" s="6" t="s">
        <v>184</v>
      </c>
      <c r="D45" s="12" t="s">
        <v>441</v>
      </c>
      <c r="E45" s="6" t="s">
        <v>23</v>
      </c>
      <c r="F45" s="6" t="s">
        <v>54</v>
      </c>
      <c r="G45" s="6" t="s">
        <v>23</v>
      </c>
      <c r="H45" s="6" t="s">
        <v>25</v>
      </c>
      <c r="I45" s="6" t="s">
        <v>25</v>
      </c>
      <c r="J45" s="6" t="s">
        <v>41</v>
      </c>
      <c r="K45" s="6" t="s">
        <v>42</v>
      </c>
      <c r="L45" s="6" t="s">
        <v>127</v>
      </c>
      <c r="M45" s="6" t="s">
        <v>128</v>
      </c>
      <c r="N45" s="6" t="s">
        <v>57</v>
      </c>
      <c r="O45" s="6" t="s">
        <v>88</v>
      </c>
      <c r="P45" s="6" t="s">
        <v>89</v>
      </c>
      <c r="Q45" s="6" t="s">
        <v>129</v>
      </c>
      <c r="R45" s="6">
        <v>1</v>
      </c>
      <c r="S45" s="6">
        <v>0</v>
      </c>
      <c r="T45" s="6">
        <v>0</v>
      </c>
      <c r="U45" s="6" t="s">
        <v>34</v>
      </c>
    </row>
    <row r="46" spans="1:21" ht="19.5" x14ac:dyDescent="0.7">
      <c r="A46" s="6" t="s">
        <v>185</v>
      </c>
      <c r="B46" s="6" t="s">
        <v>186</v>
      </c>
      <c r="C46" s="6" t="s">
        <v>187</v>
      </c>
      <c r="D46" s="12" t="s">
        <v>442</v>
      </c>
      <c r="E46" s="6" t="s">
        <v>23</v>
      </c>
      <c r="F46" s="6" t="s">
        <v>54</v>
      </c>
      <c r="G46" s="6" t="s">
        <v>23</v>
      </c>
      <c r="H46" s="6" t="s">
        <v>25</v>
      </c>
      <c r="I46" s="6" t="s">
        <v>25</v>
      </c>
      <c r="J46" s="6" t="s">
        <v>41</v>
      </c>
      <c r="K46" s="6" t="s">
        <v>42</v>
      </c>
      <c r="L46" s="6" t="s">
        <v>127</v>
      </c>
      <c r="M46" s="6" t="s">
        <v>128</v>
      </c>
      <c r="N46" s="6" t="s">
        <v>57</v>
      </c>
      <c r="O46" s="6" t="s">
        <v>88</v>
      </c>
      <c r="P46" s="6" t="s">
        <v>89</v>
      </c>
      <c r="Q46" s="6" t="s">
        <v>129</v>
      </c>
      <c r="R46" s="6">
        <v>1</v>
      </c>
      <c r="S46" s="6">
        <v>0</v>
      </c>
      <c r="T46" s="6">
        <v>0</v>
      </c>
      <c r="U46" s="6" t="s">
        <v>34</v>
      </c>
    </row>
    <row r="47" spans="1:21" ht="19.5" x14ac:dyDescent="0.7">
      <c r="A47" s="6" t="s">
        <v>188</v>
      </c>
      <c r="B47" s="6" t="s">
        <v>189</v>
      </c>
      <c r="C47" s="6" t="s">
        <v>190</v>
      </c>
      <c r="D47" s="12" t="s">
        <v>442</v>
      </c>
      <c r="E47" s="6" t="s">
        <v>23</v>
      </c>
      <c r="F47" s="6" t="s">
        <v>54</v>
      </c>
      <c r="G47" s="6" t="s">
        <v>23</v>
      </c>
      <c r="H47" s="6" t="s">
        <v>25</v>
      </c>
      <c r="I47" s="6" t="s">
        <v>25</v>
      </c>
      <c r="J47" s="6" t="s">
        <v>41</v>
      </c>
      <c r="K47" s="6" t="s">
        <v>42</v>
      </c>
      <c r="L47" s="6" t="s">
        <v>127</v>
      </c>
      <c r="M47" s="6" t="s">
        <v>128</v>
      </c>
      <c r="N47" s="6" t="s">
        <v>57</v>
      </c>
      <c r="O47" s="6" t="s">
        <v>88</v>
      </c>
      <c r="P47" s="6" t="s">
        <v>89</v>
      </c>
      <c r="Q47" s="6" t="s">
        <v>129</v>
      </c>
      <c r="R47" s="6">
        <v>1</v>
      </c>
      <c r="S47" s="6">
        <v>0</v>
      </c>
      <c r="T47" s="6">
        <v>0</v>
      </c>
      <c r="U47" s="6" t="s">
        <v>34</v>
      </c>
    </row>
    <row r="48" spans="1:21" ht="19.5" x14ac:dyDescent="0.7">
      <c r="A48" s="6" t="s">
        <v>191</v>
      </c>
      <c r="B48" s="6" t="s">
        <v>192</v>
      </c>
      <c r="C48" s="6" t="s">
        <v>193</v>
      </c>
      <c r="D48" s="12" t="s">
        <v>442</v>
      </c>
      <c r="E48" s="6" t="s">
        <v>23</v>
      </c>
      <c r="F48" s="6" t="s">
        <v>54</v>
      </c>
      <c r="G48" s="6" t="s">
        <v>23</v>
      </c>
      <c r="H48" s="6" t="s">
        <v>25</v>
      </c>
      <c r="I48" s="6" t="s">
        <v>25</v>
      </c>
      <c r="J48" s="6" t="s">
        <v>41</v>
      </c>
      <c r="K48" s="6" t="s">
        <v>42</v>
      </c>
      <c r="L48" s="6" t="s">
        <v>127</v>
      </c>
      <c r="M48" s="6" t="s">
        <v>128</v>
      </c>
      <c r="N48" s="6" t="s">
        <v>57</v>
      </c>
      <c r="O48" s="6" t="s">
        <v>88</v>
      </c>
      <c r="P48" s="6" t="s">
        <v>89</v>
      </c>
      <c r="Q48" s="6" t="s">
        <v>129</v>
      </c>
      <c r="R48" s="6">
        <v>1</v>
      </c>
      <c r="S48" s="6">
        <v>0</v>
      </c>
      <c r="T48" s="6">
        <v>0</v>
      </c>
      <c r="U48" s="6" t="s">
        <v>34</v>
      </c>
    </row>
    <row r="49" spans="1:21" ht="19.5" x14ac:dyDescent="0.7">
      <c r="A49" s="6" t="s">
        <v>194</v>
      </c>
      <c r="B49" s="6" t="s">
        <v>195</v>
      </c>
      <c r="C49" s="6" t="s">
        <v>196</v>
      </c>
      <c r="D49" s="12" t="s">
        <v>441</v>
      </c>
      <c r="E49" s="6" t="s">
        <v>23</v>
      </c>
      <c r="F49" s="6" t="s">
        <v>54</v>
      </c>
      <c r="G49" s="6" t="s">
        <v>23</v>
      </c>
      <c r="H49" s="6" t="s">
        <v>25</v>
      </c>
      <c r="I49" s="6" t="s">
        <v>25</v>
      </c>
      <c r="J49" s="6" t="s">
        <v>41</v>
      </c>
      <c r="K49" s="6" t="s">
        <v>42</v>
      </c>
      <c r="L49" s="6" t="s">
        <v>127</v>
      </c>
      <c r="M49" s="6" t="s">
        <v>128</v>
      </c>
      <c r="N49" s="6" t="s">
        <v>57</v>
      </c>
      <c r="O49" s="6" t="s">
        <v>88</v>
      </c>
      <c r="P49" s="6" t="s">
        <v>89</v>
      </c>
      <c r="Q49" s="6" t="s">
        <v>129</v>
      </c>
      <c r="R49" s="6">
        <v>1</v>
      </c>
      <c r="S49" s="6">
        <v>0</v>
      </c>
      <c r="T49" s="6">
        <v>0</v>
      </c>
      <c r="U49" s="6" t="s">
        <v>34</v>
      </c>
    </row>
    <row r="50" spans="1:21" ht="19.5" x14ac:dyDescent="0.7">
      <c r="A50" s="6" t="s">
        <v>197</v>
      </c>
      <c r="B50" s="6" t="s">
        <v>198</v>
      </c>
      <c r="C50" s="6" t="s">
        <v>199</v>
      </c>
      <c r="D50" s="12" t="s">
        <v>441</v>
      </c>
      <c r="E50" s="6" t="s">
        <v>23</v>
      </c>
      <c r="F50" s="6" t="s">
        <v>54</v>
      </c>
      <c r="G50" s="6" t="s">
        <v>23</v>
      </c>
      <c r="H50" s="6" t="s">
        <v>25</v>
      </c>
      <c r="I50" s="6" t="s">
        <v>25</v>
      </c>
      <c r="J50" s="6" t="s">
        <v>41</v>
      </c>
      <c r="K50" s="6" t="s">
        <v>42</v>
      </c>
      <c r="L50" s="6" t="s">
        <v>127</v>
      </c>
      <c r="M50" s="6" t="s">
        <v>128</v>
      </c>
      <c r="N50" s="6" t="s">
        <v>57</v>
      </c>
      <c r="O50" s="6" t="s">
        <v>88</v>
      </c>
      <c r="P50" s="6" t="s">
        <v>89</v>
      </c>
      <c r="Q50" s="6" t="s">
        <v>129</v>
      </c>
      <c r="R50" s="6">
        <v>1</v>
      </c>
      <c r="S50" s="6">
        <v>0</v>
      </c>
      <c r="T50" s="6">
        <v>0</v>
      </c>
      <c r="U50" s="6" t="s">
        <v>34</v>
      </c>
    </row>
    <row r="51" spans="1:21" ht="19.5" x14ac:dyDescent="0.7">
      <c r="A51" s="6" t="s">
        <v>200</v>
      </c>
      <c r="B51" s="6" t="s">
        <v>201</v>
      </c>
      <c r="C51" s="6" t="s">
        <v>202</v>
      </c>
      <c r="D51" s="12" t="s">
        <v>442</v>
      </c>
      <c r="E51" s="6" t="s">
        <v>23</v>
      </c>
      <c r="F51" s="6" t="s">
        <v>54</v>
      </c>
      <c r="G51" s="6" t="s">
        <v>23</v>
      </c>
      <c r="H51" s="6" t="s">
        <v>25</v>
      </c>
      <c r="I51" s="6" t="s">
        <v>25</v>
      </c>
      <c r="J51" s="6" t="s">
        <v>41</v>
      </c>
      <c r="K51" s="6" t="s">
        <v>42</v>
      </c>
      <c r="L51" s="6" t="s">
        <v>127</v>
      </c>
      <c r="M51" s="6" t="s">
        <v>128</v>
      </c>
      <c r="N51" s="6" t="s">
        <v>57</v>
      </c>
      <c r="O51" s="6" t="s">
        <v>88</v>
      </c>
      <c r="P51" s="6" t="s">
        <v>89</v>
      </c>
      <c r="Q51" s="6" t="s">
        <v>129</v>
      </c>
      <c r="R51" s="6">
        <v>1</v>
      </c>
      <c r="S51" s="6">
        <v>0</v>
      </c>
      <c r="T51" s="6">
        <v>0</v>
      </c>
      <c r="U51" s="6" t="s">
        <v>34</v>
      </c>
    </row>
    <row r="52" spans="1:21" ht="19.5" x14ac:dyDescent="0.7">
      <c r="A52" s="6" t="s">
        <v>203</v>
      </c>
      <c r="B52" s="6" t="s">
        <v>204</v>
      </c>
      <c r="C52" s="6" t="s">
        <v>205</v>
      </c>
      <c r="D52" s="12" t="s">
        <v>442</v>
      </c>
      <c r="E52" s="6" t="s">
        <v>23</v>
      </c>
      <c r="F52" s="6" t="s">
        <v>54</v>
      </c>
      <c r="G52" s="6" t="s">
        <v>23</v>
      </c>
      <c r="H52" s="6" t="s">
        <v>25</v>
      </c>
      <c r="I52" s="6" t="s">
        <v>25</v>
      </c>
      <c r="J52" s="6" t="s">
        <v>26</v>
      </c>
      <c r="K52" s="6" t="s">
        <v>27</v>
      </c>
      <c r="L52" s="6" t="s">
        <v>127</v>
      </c>
      <c r="M52" s="6" t="s">
        <v>128</v>
      </c>
      <c r="N52" s="6" t="s">
        <v>57</v>
      </c>
      <c r="O52" s="6" t="s">
        <v>88</v>
      </c>
      <c r="P52" s="6" t="s">
        <v>89</v>
      </c>
      <c r="Q52" s="6" t="s">
        <v>129</v>
      </c>
      <c r="R52" s="6">
        <v>1</v>
      </c>
      <c r="S52" s="6">
        <v>1</v>
      </c>
      <c r="T52" s="6">
        <v>1</v>
      </c>
      <c r="U52" s="6" t="s">
        <v>34</v>
      </c>
    </row>
    <row r="53" spans="1:21" ht="19.5" x14ac:dyDescent="0.7">
      <c r="A53" s="6" t="s">
        <v>206</v>
      </c>
      <c r="B53" s="6" t="s">
        <v>207</v>
      </c>
      <c r="C53" s="6" t="s">
        <v>208</v>
      </c>
      <c r="D53" s="12" t="s">
        <v>442</v>
      </c>
      <c r="E53" s="6" t="s">
        <v>23</v>
      </c>
      <c r="F53" s="6" t="s">
        <v>54</v>
      </c>
      <c r="G53" s="6" t="s">
        <v>23</v>
      </c>
      <c r="H53" s="6" t="s">
        <v>25</v>
      </c>
      <c r="I53" s="6" t="s">
        <v>25</v>
      </c>
      <c r="J53" s="6" t="s">
        <v>26</v>
      </c>
      <c r="K53" s="6" t="s">
        <v>27</v>
      </c>
      <c r="L53" s="6" t="s">
        <v>127</v>
      </c>
      <c r="M53" s="6" t="s">
        <v>128</v>
      </c>
      <c r="N53" s="6" t="s">
        <v>57</v>
      </c>
      <c r="O53" s="6" t="s">
        <v>88</v>
      </c>
      <c r="P53" s="6" t="s">
        <v>89</v>
      </c>
      <c r="Q53" s="6" t="s">
        <v>129</v>
      </c>
      <c r="R53" s="6">
        <v>1</v>
      </c>
      <c r="S53" s="6">
        <v>1</v>
      </c>
      <c r="T53" s="6">
        <v>1</v>
      </c>
      <c r="U53" s="6" t="s">
        <v>34</v>
      </c>
    </row>
    <row r="54" spans="1:21" ht="19.5" x14ac:dyDescent="0.7">
      <c r="A54" s="6" t="s">
        <v>209</v>
      </c>
      <c r="B54" s="6" t="s">
        <v>210</v>
      </c>
      <c r="C54" s="6" t="s">
        <v>211</v>
      </c>
      <c r="D54" s="12" t="s">
        <v>442</v>
      </c>
      <c r="E54" s="6" t="s">
        <v>23</v>
      </c>
      <c r="F54" s="6" t="s">
        <v>54</v>
      </c>
      <c r="G54" s="6" t="s">
        <v>23</v>
      </c>
      <c r="H54" s="6" t="s">
        <v>25</v>
      </c>
      <c r="I54" s="6" t="s">
        <v>25</v>
      </c>
      <c r="J54" s="6" t="s">
        <v>41</v>
      </c>
      <c r="K54" s="6" t="s">
        <v>42</v>
      </c>
      <c r="L54" s="6" t="s">
        <v>127</v>
      </c>
      <c r="M54" s="6" t="s">
        <v>128</v>
      </c>
      <c r="N54" s="6" t="s">
        <v>57</v>
      </c>
      <c r="O54" s="6" t="s">
        <v>88</v>
      </c>
      <c r="P54" s="6" t="s">
        <v>89</v>
      </c>
      <c r="Q54" s="6" t="s">
        <v>129</v>
      </c>
      <c r="R54" s="6">
        <v>1</v>
      </c>
      <c r="S54" s="6">
        <v>0</v>
      </c>
      <c r="T54" s="6">
        <v>0</v>
      </c>
      <c r="U54" s="6" t="s">
        <v>34</v>
      </c>
    </row>
    <row r="55" spans="1:21" ht="19.5" x14ac:dyDescent="0.7">
      <c r="A55" s="6" t="s">
        <v>212</v>
      </c>
      <c r="B55" s="6" t="s">
        <v>213</v>
      </c>
      <c r="C55" s="6" t="s">
        <v>214</v>
      </c>
      <c r="D55" s="12" t="s">
        <v>442</v>
      </c>
      <c r="E55" s="6" t="s">
        <v>23</v>
      </c>
      <c r="F55" s="6" t="s">
        <v>54</v>
      </c>
      <c r="G55" s="6" t="s">
        <v>23</v>
      </c>
      <c r="H55" s="6" t="s">
        <v>25</v>
      </c>
      <c r="I55" s="6" t="s">
        <v>25</v>
      </c>
      <c r="J55" s="6" t="s">
        <v>41</v>
      </c>
      <c r="K55" s="6" t="s">
        <v>42</v>
      </c>
      <c r="L55" s="6" t="s">
        <v>127</v>
      </c>
      <c r="M55" s="6" t="s">
        <v>128</v>
      </c>
      <c r="N55" s="6" t="s">
        <v>57</v>
      </c>
      <c r="O55" s="6" t="s">
        <v>88</v>
      </c>
      <c r="P55" s="6" t="s">
        <v>89</v>
      </c>
      <c r="Q55" s="6" t="s">
        <v>129</v>
      </c>
      <c r="R55" s="6">
        <v>1</v>
      </c>
      <c r="S55" s="6">
        <v>0</v>
      </c>
      <c r="T55" s="6">
        <v>0</v>
      </c>
      <c r="U55" s="6" t="s">
        <v>34</v>
      </c>
    </row>
    <row r="56" spans="1:21" ht="19.5" x14ac:dyDescent="0.7">
      <c r="A56" s="6" t="s">
        <v>215</v>
      </c>
      <c r="B56" s="6" t="s">
        <v>216</v>
      </c>
      <c r="C56" s="6" t="s">
        <v>217</v>
      </c>
      <c r="D56" s="12" t="s">
        <v>442</v>
      </c>
      <c r="E56" s="6" t="s">
        <v>23</v>
      </c>
      <c r="F56" s="6" t="s">
        <v>54</v>
      </c>
      <c r="G56" s="6" t="s">
        <v>23</v>
      </c>
      <c r="H56" s="6" t="s">
        <v>25</v>
      </c>
      <c r="I56" s="6" t="s">
        <v>25</v>
      </c>
      <c r="J56" s="6" t="s">
        <v>41</v>
      </c>
      <c r="K56" s="6" t="s">
        <v>42</v>
      </c>
      <c r="L56" s="6" t="s">
        <v>127</v>
      </c>
      <c r="M56" s="6" t="s">
        <v>128</v>
      </c>
      <c r="N56" s="6" t="s">
        <v>57</v>
      </c>
      <c r="O56" s="6" t="s">
        <v>88</v>
      </c>
      <c r="P56" s="6" t="s">
        <v>89</v>
      </c>
      <c r="Q56" s="6" t="s">
        <v>129</v>
      </c>
      <c r="R56" s="6">
        <v>1</v>
      </c>
      <c r="S56" s="6">
        <v>0</v>
      </c>
      <c r="T56" s="6">
        <v>0</v>
      </c>
      <c r="U56" s="6" t="s">
        <v>34</v>
      </c>
    </row>
    <row r="57" spans="1:21" ht="19.5" x14ac:dyDescent="0.7">
      <c r="A57" s="6" t="s">
        <v>218</v>
      </c>
      <c r="B57" s="6" t="s">
        <v>219</v>
      </c>
      <c r="C57" s="6" t="s">
        <v>220</v>
      </c>
      <c r="D57" s="12" t="s">
        <v>442</v>
      </c>
      <c r="E57" s="6" t="s">
        <v>23</v>
      </c>
      <c r="F57" s="6" t="s">
        <v>54</v>
      </c>
      <c r="G57" s="6" t="s">
        <v>23</v>
      </c>
      <c r="H57" s="6" t="s">
        <v>25</v>
      </c>
      <c r="I57" s="6" t="s">
        <v>25</v>
      </c>
      <c r="J57" s="6" t="s">
        <v>41</v>
      </c>
      <c r="K57" s="6" t="s">
        <v>42</v>
      </c>
      <c r="L57" s="6" t="s">
        <v>127</v>
      </c>
      <c r="M57" s="6" t="s">
        <v>128</v>
      </c>
      <c r="N57" s="6" t="s">
        <v>57</v>
      </c>
      <c r="O57" s="6" t="s">
        <v>88</v>
      </c>
      <c r="P57" s="6" t="s">
        <v>89</v>
      </c>
      <c r="Q57" s="6" t="s">
        <v>129</v>
      </c>
      <c r="R57" s="6">
        <v>1</v>
      </c>
      <c r="S57" s="6">
        <v>0</v>
      </c>
      <c r="T57" s="6">
        <v>0</v>
      </c>
      <c r="U57" s="6" t="s">
        <v>34</v>
      </c>
    </row>
    <row r="58" spans="1:21" ht="19.5" x14ac:dyDescent="0.7">
      <c r="A58" s="6" t="s">
        <v>221</v>
      </c>
      <c r="B58" s="6" t="s">
        <v>222</v>
      </c>
      <c r="C58" s="6" t="s">
        <v>223</v>
      </c>
      <c r="D58" s="12" t="s">
        <v>442</v>
      </c>
      <c r="E58" s="6" t="s">
        <v>23</v>
      </c>
      <c r="F58" s="6" t="s">
        <v>54</v>
      </c>
      <c r="G58" s="6" t="s">
        <v>23</v>
      </c>
      <c r="H58" s="6" t="s">
        <v>25</v>
      </c>
      <c r="I58" s="6" t="s">
        <v>25</v>
      </c>
      <c r="J58" s="6" t="s">
        <v>41</v>
      </c>
      <c r="K58" s="6" t="s">
        <v>42</v>
      </c>
      <c r="L58" s="6" t="s">
        <v>127</v>
      </c>
      <c r="M58" s="6" t="s">
        <v>128</v>
      </c>
      <c r="N58" s="6" t="s">
        <v>57</v>
      </c>
      <c r="O58" s="6" t="s">
        <v>88</v>
      </c>
      <c r="P58" s="6" t="s">
        <v>89</v>
      </c>
      <c r="Q58" s="6" t="s">
        <v>129</v>
      </c>
      <c r="R58" s="6">
        <v>1</v>
      </c>
      <c r="S58" s="6">
        <v>0</v>
      </c>
      <c r="T58" s="6">
        <v>0</v>
      </c>
      <c r="U58" s="6" t="s">
        <v>34</v>
      </c>
    </row>
    <row r="59" spans="1:21" ht="19.5" x14ac:dyDescent="0.7">
      <c r="A59" s="6" t="s">
        <v>224</v>
      </c>
      <c r="B59" s="6" t="s">
        <v>225</v>
      </c>
      <c r="C59" s="6" t="s">
        <v>226</v>
      </c>
      <c r="D59" s="12" t="s">
        <v>442</v>
      </c>
      <c r="E59" s="6" t="s">
        <v>23</v>
      </c>
      <c r="F59" s="6" t="s">
        <v>54</v>
      </c>
      <c r="G59" s="6" t="s">
        <v>23</v>
      </c>
      <c r="H59" s="6" t="s">
        <v>25</v>
      </c>
      <c r="I59" s="6" t="s">
        <v>25</v>
      </c>
      <c r="J59" s="6" t="s">
        <v>55</v>
      </c>
      <c r="K59" s="6" t="s">
        <v>42</v>
      </c>
      <c r="L59" s="6" t="s">
        <v>127</v>
      </c>
      <c r="M59" s="6" t="s">
        <v>128</v>
      </c>
      <c r="N59" s="6" t="s">
        <v>57</v>
      </c>
      <c r="O59" s="6" t="s">
        <v>88</v>
      </c>
      <c r="P59" s="6" t="s">
        <v>89</v>
      </c>
      <c r="Q59" s="6" t="s">
        <v>129</v>
      </c>
      <c r="R59" s="6">
        <v>1</v>
      </c>
      <c r="S59" s="6">
        <v>0</v>
      </c>
      <c r="T59" s="6">
        <v>0</v>
      </c>
      <c r="U59" s="6" t="s">
        <v>34</v>
      </c>
    </row>
    <row r="60" spans="1:21" ht="19.5" x14ac:dyDescent="0.7">
      <c r="A60" s="6" t="s">
        <v>227</v>
      </c>
      <c r="B60" s="6" t="s">
        <v>228</v>
      </c>
      <c r="C60" s="6" t="s">
        <v>229</v>
      </c>
      <c r="D60" s="12" t="s">
        <v>442</v>
      </c>
      <c r="E60" s="6" t="s">
        <v>23</v>
      </c>
      <c r="F60" s="6" t="s">
        <v>54</v>
      </c>
      <c r="G60" s="6" t="s">
        <v>23</v>
      </c>
      <c r="H60" s="6" t="s">
        <v>25</v>
      </c>
      <c r="I60" s="6" t="s">
        <v>25</v>
      </c>
      <c r="J60" s="6" t="s">
        <v>55</v>
      </c>
      <c r="K60" s="6" t="s">
        <v>42</v>
      </c>
      <c r="L60" s="6" t="s">
        <v>127</v>
      </c>
      <c r="M60" s="6" t="s">
        <v>128</v>
      </c>
      <c r="N60" s="6" t="s">
        <v>57</v>
      </c>
      <c r="O60" s="6" t="s">
        <v>88</v>
      </c>
      <c r="P60" s="6" t="s">
        <v>89</v>
      </c>
      <c r="Q60" s="6" t="s">
        <v>129</v>
      </c>
      <c r="R60" s="6">
        <v>1</v>
      </c>
      <c r="S60" s="6">
        <v>0</v>
      </c>
      <c r="T60" s="6">
        <v>0</v>
      </c>
      <c r="U60" s="6" t="s">
        <v>34</v>
      </c>
    </row>
    <row r="61" spans="1:21" ht="19.5" x14ac:dyDescent="0.7">
      <c r="A61" s="6" t="s">
        <v>230</v>
      </c>
      <c r="B61" s="6" t="s">
        <v>231</v>
      </c>
      <c r="C61" s="6" t="s">
        <v>232</v>
      </c>
      <c r="D61" s="12" t="s">
        <v>442</v>
      </c>
      <c r="E61" s="6" t="s">
        <v>23</v>
      </c>
      <c r="F61" s="6" t="s">
        <v>54</v>
      </c>
      <c r="G61" s="6" t="s">
        <v>23</v>
      </c>
      <c r="H61" s="6" t="s">
        <v>25</v>
      </c>
      <c r="I61" s="6" t="s">
        <v>25</v>
      </c>
      <c r="J61" s="6" t="s">
        <v>55</v>
      </c>
      <c r="K61" s="6" t="s">
        <v>42</v>
      </c>
      <c r="L61" s="6" t="s">
        <v>127</v>
      </c>
      <c r="M61" s="6" t="s">
        <v>128</v>
      </c>
      <c r="N61" s="6" t="s">
        <v>57</v>
      </c>
      <c r="O61" s="6" t="s">
        <v>88</v>
      </c>
      <c r="P61" s="6" t="s">
        <v>89</v>
      </c>
      <c r="Q61" s="6" t="s">
        <v>129</v>
      </c>
      <c r="R61" s="6">
        <v>1</v>
      </c>
      <c r="S61" s="6">
        <v>0</v>
      </c>
      <c r="T61" s="6">
        <v>0</v>
      </c>
      <c r="U61" s="6" t="s">
        <v>34</v>
      </c>
    </row>
    <row r="62" spans="1:21" ht="19.5" x14ac:dyDescent="0.7">
      <c r="A62" s="6" t="s">
        <v>233</v>
      </c>
      <c r="B62" s="6" t="s">
        <v>234</v>
      </c>
      <c r="C62" s="6" t="s">
        <v>235</v>
      </c>
      <c r="D62" s="12" t="s">
        <v>441</v>
      </c>
      <c r="E62" s="6" t="s">
        <v>23</v>
      </c>
      <c r="F62" s="6" t="s">
        <v>54</v>
      </c>
      <c r="G62" s="6" t="s">
        <v>23</v>
      </c>
      <c r="H62" s="6" t="s">
        <v>25</v>
      </c>
      <c r="I62" s="6" t="s">
        <v>25</v>
      </c>
      <c r="J62" s="6" t="s">
        <v>41</v>
      </c>
      <c r="K62" s="6" t="s">
        <v>42</v>
      </c>
      <c r="L62" s="6" t="s">
        <v>127</v>
      </c>
      <c r="M62" s="6" t="s">
        <v>128</v>
      </c>
      <c r="N62" s="6" t="s">
        <v>57</v>
      </c>
      <c r="O62" s="6" t="s">
        <v>88</v>
      </c>
      <c r="P62" s="6" t="s">
        <v>89</v>
      </c>
      <c r="Q62" s="6" t="s">
        <v>129</v>
      </c>
      <c r="R62" s="6">
        <v>1</v>
      </c>
      <c r="S62" s="6">
        <v>0</v>
      </c>
      <c r="T62" s="6">
        <v>0</v>
      </c>
      <c r="U62" s="6" t="s">
        <v>34</v>
      </c>
    </row>
    <row r="63" spans="1:21" ht="19.5" x14ac:dyDescent="0.7">
      <c r="A63" s="6" t="s">
        <v>236</v>
      </c>
      <c r="B63" s="6" t="s">
        <v>237</v>
      </c>
      <c r="C63" s="6" t="s">
        <v>238</v>
      </c>
      <c r="D63" s="12" t="s">
        <v>441</v>
      </c>
      <c r="E63" s="6" t="s">
        <v>23</v>
      </c>
      <c r="F63" s="6" t="s">
        <v>54</v>
      </c>
      <c r="G63" s="6" t="s">
        <v>23</v>
      </c>
      <c r="H63" s="6" t="s">
        <v>25</v>
      </c>
      <c r="I63" s="6" t="s">
        <v>25</v>
      </c>
      <c r="J63" s="6" t="s">
        <v>26</v>
      </c>
      <c r="K63" s="6" t="s">
        <v>27</v>
      </c>
      <c r="L63" s="6" t="s">
        <v>127</v>
      </c>
      <c r="M63" s="6" t="s">
        <v>128</v>
      </c>
      <c r="N63" s="6" t="s">
        <v>57</v>
      </c>
      <c r="O63" s="6" t="s">
        <v>88</v>
      </c>
      <c r="P63" s="6" t="s">
        <v>89</v>
      </c>
      <c r="Q63" s="6" t="s">
        <v>129</v>
      </c>
      <c r="R63" s="6">
        <v>1</v>
      </c>
      <c r="S63" s="6">
        <v>1</v>
      </c>
      <c r="T63" s="6">
        <v>1</v>
      </c>
      <c r="U63" s="6" t="s">
        <v>34</v>
      </c>
    </row>
    <row r="64" spans="1:21" ht="19.5" x14ac:dyDescent="0.7">
      <c r="A64" s="6" t="s">
        <v>239</v>
      </c>
      <c r="B64" s="6" t="s">
        <v>240</v>
      </c>
      <c r="C64" s="6" t="s">
        <v>241</v>
      </c>
      <c r="D64" s="12" t="s">
        <v>442</v>
      </c>
      <c r="E64" s="6" t="s">
        <v>23</v>
      </c>
      <c r="F64" s="6" t="s">
        <v>54</v>
      </c>
      <c r="G64" s="6" t="s">
        <v>23</v>
      </c>
      <c r="H64" s="6" t="s">
        <v>25</v>
      </c>
      <c r="I64" s="6" t="s">
        <v>25</v>
      </c>
      <c r="J64" s="6" t="s">
        <v>26</v>
      </c>
      <c r="K64" s="6" t="s">
        <v>27</v>
      </c>
      <c r="L64" s="6" t="s">
        <v>127</v>
      </c>
      <c r="M64" s="6" t="s">
        <v>128</v>
      </c>
      <c r="N64" s="6" t="s">
        <v>57</v>
      </c>
      <c r="O64" s="6" t="s">
        <v>88</v>
      </c>
      <c r="P64" s="6" t="s">
        <v>89</v>
      </c>
      <c r="Q64" s="6" t="s">
        <v>129</v>
      </c>
      <c r="R64" s="6">
        <v>1</v>
      </c>
      <c r="S64" s="6">
        <v>1</v>
      </c>
      <c r="T64" s="6">
        <v>1</v>
      </c>
      <c r="U64" s="6" t="s">
        <v>34</v>
      </c>
    </row>
    <row r="65" spans="1:21" ht="19.5" x14ac:dyDescent="0.7">
      <c r="A65" s="6" t="s">
        <v>242</v>
      </c>
      <c r="B65" s="6" t="s">
        <v>243</v>
      </c>
      <c r="C65" s="6" t="s">
        <v>244</v>
      </c>
      <c r="D65" s="12" t="s">
        <v>442</v>
      </c>
      <c r="E65" s="6" t="s">
        <v>23</v>
      </c>
      <c r="F65" s="6" t="s">
        <v>54</v>
      </c>
      <c r="G65" s="6" t="s">
        <v>23</v>
      </c>
      <c r="H65" s="6" t="s">
        <v>25</v>
      </c>
      <c r="I65" s="6" t="s">
        <v>25</v>
      </c>
      <c r="J65" s="6" t="s">
        <v>26</v>
      </c>
      <c r="K65" s="6" t="s">
        <v>27</v>
      </c>
      <c r="L65" s="6" t="s">
        <v>127</v>
      </c>
      <c r="M65" s="6" t="s">
        <v>128</v>
      </c>
      <c r="N65" s="6" t="s">
        <v>57</v>
      </c>
      <c r="O65" s="6" t="s">
        <v>88</v>
      </c>
      <c r="P65" s="6" t="s">
        <v>89</v>
      </c>
      <c r="Q65" s="6" t="s">
        <v>129</v>
      </c>
      <c r="R65" s="6">
        <v>1</v>
      </c>
      <c r="S65" s="6">
        <v>1</v>
      </c>
      <c r="T65" s="6">
        <v>1</v>
      </c>
      <c r="U65" s="6" t="s">
        <v>34</v>
      </c>
    </row>
    <row r="66" spans="1:21" ht="19.5" x14ac:dyDescent="0.7">
      <c r="A66" s="6" t="s">
        <v>245</v>
      </c>
      <c r="B66" s="6" t="s">
        <v>246</v>
      </c>
      <c r="C66" s="6" t="s">
        <v>247</v>
      </c>
      <c r="D66" s="12" t="s">
        <v>442</v>
      </c>
      <c r="E66" s="6" t="s">
        <v>23</v>
      </c>
      <c r="F66" s="6" t="s">
        <v>54</v>
      </c>
      <c r="G66" s="6" t="s">
        <v>23</v>
      </c>
      <c r="H66" s="6" t="s">
        <v>25</v>
      </c>
      <c r="I66" s="6" t="s">
        <v>25</v>
      </c>
      <c r="J66" s="6" t="s">
        <v>26</v>
      </c>
      <c r="K66" s="6" t="s">
        <v>27</v>
      </c>
      <c r="L66" s="6" t="s">
        <v>127</v>
      </c>
      <c r="M66" s="6" t="s">
        <v>128</v>
      </c>
      <c r="N66" s="6" t="s">
        <v>57</v>
      </c>
      <c r="O66" s="6" t="s">
        <v>88</v>
      </c>
      <c r="P66" s="6" t="s">
        <v>89</v>
      </c>
      <c r="Q66" s="6" t="s">
        <v>129</v>
      </c>
      <c r="R66" s="6">
        <v>1</v>
      </c>
      <c r="S66" s="6">
        <v>1</v>
      </c>
      <c r="T66" s="6">
        <v>1</v>
      </c>
      <c r="U66" s="6" t="s">
        <v>34</v>
      </c>
    </row>
    <row r="67" spans="1:21" ht="19.5" x14ac:dyDescent="0.7">
      <c r="A67" s="6" t="s">
        <v>248</v>
      </c>
      <c r="B67" s="6" t="s">
        <v>249</v>
      </c>
      <c r="C67" s="6" t="s">
        <v>250</v>
      </c>
      <c r="D67" s="12" t="s">
        <v>442</v>
      </c>
      <c r="E67" s="6" t="s">
        <v>23</v>
      </c>
      <c r="F67" s="6" t="s">
        <v>54</v>
      </c>
      <c r="G67" s="6" t="s">
        <v>23</v>
      </c>
      <c r="H67" s="6" t="s">
        <v>151</v>
      </c>
      <c r="I67" s="6" t="s">
        <v>151</v>
      </c>
      <c r="J67" s="6" t="s">
        <v>23</v>
      </c>
      <c r="K67" s="6" t="s">
        <v>23</v>
      </c>
      <c r="L67" s="6" t="s">
        <v>23</v>
      </c>
      <c r="M67" s="6" t="s">
        <v>23</v>
      </c>
      <c r="N67" s="6" t="s">
        <v>23</v>
      </c>
      <c r="O67" s="6" t="s">
        <v>23</v>
      </c>
      <c r="P67" s="6">
        <v>0</v>
      </c>
      <c r="Q67" s="6">
        <v>0</v>
      </c>
      <c r="R67" s="6">
        <v>0</v>
      </c>
      <c r="S67" s="6" t="s">
        <v>34</v>
      </c>
      <c r="T67" s="6"/>
      <c r="U67" s="6"/>
    </row>
    <row r="68" spans="1:21" ht="19.5" x14ac:dyDescent="0.7">
      <c r="A68" s="6" t="s">
        <v>251</v>
      </c>
      <c r="B68" s="6" t="s">
        <v>252</v>
      </c>
      <c r="C68" s="6" t="s">
        <v>253</v>
      </c>
      <c r="D68" s="12" t="s">
        <v>442</v>
      </c>
      <c r="E68" s="6" t="s">
        <v>23</v>
      </c>
      <c r="F68" s="6" t="s">
        <v>54</v>
      </c>
      <c r="G68" s="6" t="s">
        <v>23</v>
      </c>
      <c r="H68" s="6" t="s">
        <v>25</v>
      </c>
      <c r="I68" s="6" t="s">
        <v>25</v>
      </c>
      <c r="J68" s="6" t="s">
        <v>26</v>
      </c>
      <c r="K68" s="6" t="s">
        <v>27</v>
      </c>
      <c r="L68" s="6" t="s">
        <v>127</v>
      </c>
      <c r="M68" s="6" t="s">
        <v>128</v>
      </c>
      <c r="N68" s="6" t="s">
        <v>57</v>
      </c>
      <c r="O68" s="6" t="s">
        <v>88</v>
      </c>
      <c r="P68" s="6" t="s">
        <v>89</v>
      </c>
      <c r="Q68" s="6" t="s">
        <v>129</v>
      </c>
      <c r="R68" s="6">
        <v>1</v>
      </c>
      <c r="S68" s="6">
        <v>1</v>
      </c>
      <c r="T68" s="6">
        <v>1</v>
      </c>
      <c r="U68" s="6" t="s">
        <v>34</v>
      </c>
    </row>
    <row r="69" spans="1:21" ht="19.5" x14ac:dyDescent="0.7">
      <c r="A69" s="6" t="s">
        <v>254</v>
      </c>
      <c r="B69" s="6" t="s">
        <v>255</v>
      </c>
      <c r="C69" s="6" t="s">
        <v>256</v>
      </c>
      <c r="D69" s="12" t="s">
        <v>441</v>
      </c>
      <c r="E69" s="6" t="s">
        <v>23</v>
      </c>
      <c r="F69" s="6" t="s">
        <v>54</v>
      </c>
      <c r="G69" s="6" t="s">
        <v>23</v>
      </c>
      <c r="H69" s="6" t="s">
        <v>25</v>
      </c>
      <c r="I69" s="6" t="s">
        <v>25</v>
      </c>
      <c r="J69" s="6" t="s">
        <v>26</v>
      </c>
      <c r="K69" s="6" t="s">
        <v>27</v>
      </c>
      <c r="L69" s="6" t="s">
        <v>127</v>
      </c>
      <c r="M69" s="6" t="s">
        <v>128</v>
      </c>
      <c r="N69" s="6" t="s">
        <v>57</v>
      </c>
      <c r="O69" s="6" t="s">
        <v>88</v>
      </c>
      <c r="P69" s="6" t="s">
        <v>89</v>
      </c>
      <c r="Q69" s="6" t="s">
        <v>129</v>
      </c>
      <c r="R69" s="6">
        <v>1</v>
      </c>
      <c r="S69" s="6">
        <v>1</v>
      </c>
      <c r="T69" s="6">
        <v>1</v>
      </c>
      <c r="U69" s="6" t="s">
        <v>34</v>
      </c>
    </row>
    <row r="70" spans="1:21" ht="19.5" x14ac:dyDescent="0.7">
      <c r="A70" s="6" t="s">
        <v>257</v>
      </c>
      <c r="B70" s="6" t="s">
        <v>258</v>
      </c>
      <c r="C70" s="6" t="s">
        <v>259</v>
      </c>
      <c r="D70" s="12" t="s">
        <v>441</v>
      </c>
      <c r="E70" s="6" t="s">
        <v>23</v>
      </c>
      <c r="F70" s="6" t="s">
        <v>54</v>
      </c>
      <c r="G70" s="6" t="s">
        <v>23</v>
      </c>
      <c r="H70" s="6" t="s">
        <v>25</v>
      </c>
      <c r="I70" s="6" t="s">
        <v>25</v>
      </c>
      <c r="J70" s="6" t="s">
        <v>26</v>
      </c>
      <c r="K70" s="6" t="s">
        <v>27</v>
      </c>
      <c r="L70" s="6" t="s">
        <v>127</v>
      </c>
      <c r="M70" s="6" t="s">
        <v>128</v>
      </c>
      <c r="N70" s="6" t="s">
        <v>57</v>
      </c>
      <c r="O70" s="6" t="s">
        <v>88</v>
      </c>
      <c r="P70" s="6" t="s">
        <v>89</v>
      </c>
      <c r="Q70" s="6" t="s">
        <v>129</v>
      </c>
      <c r="R70" s="6">
        <v>1</v>
      </c>
      <c r="S70" s="6">
        <v>1</v>
      </c>
      <c r="T70" s="6">
        <v>1</v>
      </c>
      <c r="U70" s="6" t="s">
        <v>34</v>
      </c>
    </row>
    <row r="71" spans="1:21" ht="19.5" x14ac:dyDescent="0.7">
      <c r="A71" s="6" t="s">
        <v>260</v>
      </c>
      <c r="B71" s="6" t="s">
        <v>261</v>
      </c>
      <c r="C71" s="6" t="s">
        <v>262</v>
      </c>
      <c r="D71" s="12" t="s">
        <v>441</v>
      </c>
      <c r="E71" s="6" t="s">
        <v>23</v>
      </c>
      <c r="F71" s="6" t="s">
        <v>54</v>
      </c>
      <c r="G71" s="6" t="s">
        <v>23</v>
      </c>
      <c r="H71" s="6" t="s">
        <v>25</v>
      </c>
      <c r="I71" s="6" t="s">
        <v>25</v>
      </c>
      <c r="J71" s="6" t="s">
        <v>55</v>
      </c>
      <c r="K71" s="6" t="s">
        <v>42</v>
      </c>
      <c r="L71" s="6" t="s">
        <v>127</v>
      </c>
      <c r="M71" s="6" t="s">
        <v>128</v>
      </c>
      <c r="N71" s="6" t="s">
        <v>57</v>
      </c>
      <c r="O71" s="6" t="s">
        <v>88</v>
      </c>
      <c r="P71" s="6" t="s">
        <v>89</v>
      </c>
      <c r="Q71" s="6" t="s">
        <v>129</v>
      </c>
      <c r="R71" s="6">
        <v>1</v>
      </c>
      <c r="S71" s="6">
        <v>0</v>
      </c>
      <c r="T71" s="6">
        <v>0</v>
      </c>
      <c r="U71" s="6" t="s">
        <v>34</v>
      </c>
    </row>
    <row r="72" spans="1:21" ht="19.5" x14ac:dyDescent="0.7">
      <c r="A72" s="6" t="s">
        <v>263</v>
      </c>
      <c r="B72" s="6" t="s">
        <v>264</v>
      </c>
      <c r="C72" s="6" t="s">
        <v>265</v>
      </c>
      <c r="D72" s="12" t="s">
        <v>441</v>
      </c>
      <c r="E72" s="6" t="s">
        <v>23</v>
      </c>
      <c r="F72" s="6" t="s">
        <v>54</v>
      </c>
      <c r="G72" s="6" t="s">
        <v>23</v>
      </c>
      <c r="H72" s="6" t="s">
        <v>25</v>
      </c>
      <c r="I72" s="6" t="s">
        <v>25</v>
      </c>
      <c r="J72" s="6" t="s">
        <v>55</v>
      </c>
      <c r="K72" s="6" t="s">
        <v>42</v>
      </c>
      <c r="L72" s="6" t="s">
        <v>127</v>
      </c>
      <c r="M72" s="6" t="s">
        <v>128</v>
      </c>
      <c r="N72" s="6" t="s">
        <v>57</v>
      </c>
      <c r="O72" s="6" t="s">
        <v>88</v>
      </c>
      <c r="P72" s="6" t="s">
        <v>89</v>
      </c>
      <c r="Q72" s="6" t="s">
        <v>129</v>
      </c>
      <c r="R72" s="6">
        <v>1</v>
      </c>
      <c r="S72" s="6">
        <v>0</v>
      </c>
      <c r="T72" s="6">
        <v>0</v>
      </c>
      <c r="U72" s="6" t="s">
        <v>34</v>
      </c>
    </row>
    <row r="73" spans="1:21" ht="19.5" x14ac:dyDescent="0.7">
      <c r="A73" s="6" t="s">
        <v>266</v>
      </c>
      <c r="B73" s="6" t="s">
        <v>267</v>
      </c>
      <c r="C73" s="6" t="s">
        <v>268</v>
      </c>
      <c r="D73" s="12" t="s">
        <v>442</v>
      </c>
      <c r="E73" s="6" t="s">
        <v>23</v>
      </c>
      <c r="F73" s="6" t="s">
        <v>54</v>
      </c>
      <c r="G73" s="6" t="s">
        <v>23</v>
      </c>
      <c r="H73" s="6" t="s">
        <v>25</v>
      </c>
      <c r="I73" s="6" t="s">
        <v>25</v>
      </c>
      <c r="J73" s="6" t="s">
        <v>55</v>
      </c>
      <c r="K73" s="6" t="s">
        <v>42</v>
      </c>
      <c r="L73" s="6" t="s">
        <v>127</v>
      </c>
      <c r="M73" s="6" t="s">
        <v>128</v>
      </c>
      <c r="N73" s="6" t="s">
        <v>57</v>
      </c>
      <c r="O73" s="6" t="s">
        <v>88</v>
      </c>
      <c r="P73" s="6" t="s">
        <v>89</v>
      </c>
      <c r="Q73" s="6" t="s">
        <v>129</v>
      </c>
      <c r="R73" s="6">
        <v>1</v>
      </c>
      <c r="S73" s="6">
        <v>0</v>
      </c>
      <c r="T73" s="6">
        <v>0</v>
      </c>
      <c r="U73" s="6" t="s">
        <v>34</v>
      </c>
    </row>
    <row r="74" spans="1:21" ht="19.5" x14ac:dyDescent="0.7">
      <c r="A74" s="6" t="s">
        <v>269</v>
      </c>
      <c r="B74" s="6" t="s">
        <v>270</v>
      </c>
      <c r="C74" s="6" t="s">
        <v>271</v>
      </c>
      <c r="D74" s="12" t="s">
        <v>442</v>
      </c>
      <c r="E74" s="6" t="s">
        <v>23</v>
      </c>
      <c r="F74" s="6" t="s">
        <v>54</v>
      </c>
      <c r="G74" s="6" t="s">
        <v>23</v>
      </c>
      <c r="H74" s="6" t="s">
        <v>25</v>
      </c>
      <c r="I74" s="6" t="s">
        <v>25</v>
      </c>
      <c r="J74" s="6" t="s">
        <v>55</v>
      </c>
      <c r="K74" s="6" t="s">
        <v>42</v>
      </c>
      <c r="L74" s="6" t="s">
        <v>127</v>
      </c>
      <c r="M74" s="6" t="s">
        <v>128</v>
      </c>
      <c r="N74" s="6" t="s">
        <v>57</v>
      </c>
      <c r="O74" s="6" t="s">
        <v>88</v>
      </c>
      <c r="P74" s="6" t="s">
        <v>89</v>
      </c>
      <c r="Q74" s="6" t="s">
        <v>129</v>
      </c>
      <c r="R74" s="6">
        <v>1</v>
      </c>
      <c r="S74" s="6">
        <v>0</v>
      </c>
      <c r="T74" s="6">
        <v>0</v>
      </c>
      <c r="U74" s="6" t="s">
        <v>34</v>
      </c>
    </row>
    <row r="75" spans="1:21" ht="19.5" x14ac:dyDescent="0.7">
      <c r="A75" s="6" t="s">
        <v>272</v>
      </c>
      <c r="B75" s="6" t="s">
        <v>273</v>
      </c>
      <c r="C75" s="6" t="s">
        <v>274</v>
      </c>
      <c r="D75" s="12" t="s">
        <v>441</v>
      </c>
      <c r="E75" s="6" t="s">
        <v>23</v>
      </c>
      <c r="F75" s="6" t="s">
        <v>54</v>
      </c>
      <c r="G75" s="6" t="s">
        <v>23</v>
      </c>
      <c r="H75" s="6" t="s">
        <v>25</v>
      </c>
      <c r="I75" s="6" t="s">
        <v>25</v>
      </c>
      <c r="J75" s="6" t="s">
        <v>55</v>
      </c>
      <c r="K75" s="6" t="s">
        <v>42</v>
      </c>
      <c r="L75" s="6" t="s">
        <v>127</v>
      </c>
      <c r="M75" s="6" t="s">
        <v>128</v>
      </c>
      <c r="N75" s="6" t="s">
        <v>57</v>
      </c>
      <c r="O75" s="6" t="s">
        <v>88</v>
      </c>
      <c r="P75" s="6" t="s">
        <v>89</v>
      </c>
      <c r="Q75" s="6" t="s">
        <v>129</v>
      </c>
      <c r="R75" s="6">
        <v>1</v>
      </c>
      <c r="S75" s="6">
        <v>0</v>
      </c>
      <c r="T75" s="6">
        <v>0</v>
      </c>
      <c r="U75" s="6" t="s">
        <v>34</v>
      </c>
    </row>
    <row r="76" spans="1:21" ht="19.5" x14ac:dyDescent="0.7">
      <c r="A76" s="6" t="s">
        <v>275</v>
      </c>
      <c r="B76" s="6" t="s">
        <v>276</v>
      </c>
      <c r="C76" s="6" t="s">
        <v>277</v>
      </c>
      <c r="D76" s="12" t="s">
        <v>442</v>
      </c>
      <c r="E76" s="6" t="s">
        <v>23</v>
      </c>
      <c r="F76" s="6" t="s">
        <v>54</v>
      </c>
      <c r="G76" s="6" t="s">
        <v>23</v>
      </c>
      <c r="H76" s="6" t="s">
        <v>25</v>
      </c>
      <c r="I76" s="6" t="s">
        <v>25</v>
      </c>
      <c r="J76" s="6" t="s">
        <v>55</v>
      </c>
      <c r="K76" s="6" t="s">
        <v>42</v>
      </c>
      <c r="L76" s="6" t="s">
        <v>127</v>
      </c>
      <c r="M76" s="6" t="s">
        <v>128</v>
      </c>
      <c r="N76" s="6" t="s">
        <v>57</v>
      </c>
      <c r="O76" s="6" t="s">
        <v>88</v>
      </c>
      <c r="P76" s="6" t="s">
        <v>89</v>
      </c>
      <c r="Q76" s="6" t="s">
        <v>129</v>
      </c>
      <c r="R76" s="6">
        <v>1</v>
      </c>
      <c r="S76" s="6">
        <v>0</v>
      </c>
      <c r="T76" s="6">
        <v>0</v>
      </c>
      <c r="U76" s="6" t="s">
        <v>34</v>
      </c>
    </row>
    <row r="77" spans="1:21" ht="19.5" x14ac:dyDescent="0.7">
      <c r="A77" s="6" t="s">
        <v>278</v>
      </c>
      <c r="B77" s="6" t="s">
        <v>279</v>
      </c>
      <c r="C77" s="6" t="s">
        <v>280</v>
      </c>
      <c r="D77" s="12" t="s">
        <v>442</v>
      </c>
      <c r="E77" s="6" t="s">
        <v>23</v>
      </c>
      <c r="F77" s="6" t="s">
        <v>54</v>
      </c>
      <c r="G77" s="6" t="s">
        <v>23</v>
      </c>
      <c r="H77" s="6" t="s">
        <v>25</v>
      </c>
      <c r="I77" s="6" t="s">
        <v>25</v>
      </c>
      <c r="J77" s="6" t="s">
        <v>55</v>
      </c>
      <c r="K77" s="6" t="s">
        <v>42</v>
      </c>
      <c r="L77" s="6" t="s">
        <v>127</v>
      </c>
      <c r="M77" s="6" t="s">
        <v>128</v>
      </c>
      <c r="N77" s="6" t="s">
        <v>57</v>
      </c>
      <c r="O77" s="6" t="s">
        <v>88</v>
      </c>
      <c r="P77" s="6" t="s">
        <v>89</v>
      </c>
      <c r="Q77" s="6" t="s">
        <v>129</v>
      </c>
      <c r="R77" s="6">
        <v>1</v>
      </c>
      <c r="S77" s="6">
        <v>0</v>
      </c>
      <c r="T77" s="6">
        <v>0</v>
      </c>
      <c r="U77" s="6" t="s">
        <v>34</v>
      </c>
    </row>
    <row r="78" spans="1:21" ht="19.5" x14ac:dyDescent="0.7">
      <c r="A78" s="6" t="s">
        <v>281</v>
      </c>
      <c r="B78" s="6" t="s">
        <v>282</v>
      </c>
      <c r="C78" s="6" t="s">
        <v>283</v>
      </c>
      <c r="D78" s="12" t="s">
        <v>442</v>
      </c>
      <c r="E78" s="6" t="s">
        <v>23</v>
      </c>
      <c r="F78" s="6" t="s">
        <v>54</v>
      </c>
      <c r="G78" s="6" t="s">
        <v>23</v>
      </c>
      <c r="H78" s="6" t="s">
        <v>25</v>
      </c>
      <c r="I78" s="6" t="s">
        <v>25</v>
      </c>
      <c r="J78" s="6" t="s">
        <v>55</v>
      </c>
      <c r="K78" s="6" t="s">
        <v>42</v>
      </c>
      <c r="L78" s="6" t="s">
        <v>127</v>
      </c>
      <c r="M78" s="6" t="s">
        <v>128</v>
      </c>
      <c r="N78" s="6" t="s">
        <v>57</v>
      </c>
      <c r="O78" s="6" t="s">
        <v>88</v>
      </c>
      <c r="P78" s="6" t="s">
        <v>89</v>
      </c>
      <c r="Q78" s="6" t="s">
        <v>129</v>
      </c>
      <c r="R78" s="6">
        <v>1</v>
      </c>
      <c r="S78" s="6">
        <v>0</v>
      </c>
      <c r="T78" s="6">
        <v>0</v>
      </c>
      <c r="U78" s="6" t="s">
        <v>34</v>
      </c>
    </row>
    <row r="79" spans="1:21" ht="19.5" x14ac:dyDescent="0.7">
      <c r="A79" s="6" t="s">
        <v>284</v>
      </c>
      <c r="B79" s="6" t="s">
        <v>285</v>
      </c>
      <c r="C79" s="6" t="s">
        <v>286</v>
      </c>
      <c r="D79" s="12" t="s">
        <v>442</v>
      </c>
      <c r="E79" s="6" t="s">
        <v>23</v>
      </c>
      <c r="F79" s="6" t="s">
        <v>54</v>
      </c>
      <c r="G79" s="6" t="s">
        <v>23</v>
      </c>
      <c r="H79" s="6" t="s">
        <v>25</v>
      </c>
      <c r="I79" s="6" t="s">
        <v>25</v>
      </c>
      <c r="J79" s="6" t="s">
        <v>55</v>
      </c>
      <c r="K79" s="6" t="s">
        <v>42</v>
      </c>
      <c r="L79" s="6" t="s">
        <v>127</v>
      </c>
      <c r="M79" s="6" t="s">
        <v>128</v>
      </c>
      <c r="N79" s="6" t="s">
        <v>57</v>
      </c>
      <c r="O79" s="6" t="s">
        <v>88</v>
      </c>
      <c r="P79" s="6" t="s">
        <v>89</v>
      </c>
      <c r="Q79" s="6" t="s">
        <v>129</v>
      </c>
      <c r="R79" s="6">
        <v>1</v>
      </c>
      <c r="S79" s="6">
        <v>0</v>
      </c>
      <c r="T79" s="6">
        <v>0</v>
      </c>
      <c r="U79" s="6" t="s">
        <v>34</v>
      </c>
    </row>
    <row r="80" spans="1:21" ht="19.5" x14ac:dyDescent="0.7">
      <c r="A80" s="6" t="s">
        <v>287</v>
      </c>
      <c r="B80" s="6" t="s">
        <v>288</v>
      </c>
      <c r="C80" s="6" t="s">
        <v>289</v>
      </c>
      <c r="D80" s="12" t="s">
        <v>442</v>
      </c>
      <c r="E80" s="6" t="s">
        <v>23</v>
      </c>
      <c r="F80" s="6" t="s">
        <v>54</v>
      </c>
      <c r="G80" s="6" t="s">
        <v>23</v>
      </c>
      <c r="H80" s="6" t="s">
        <v>25</v>
      </c>
      <c r="I80" s="6" t="s">
        <v>25</v>
      </c>
      <c r="J80" s="6" t="s">
        <v>55</v>
      </c>
      <c r="K80" s="6" t="s">
        <v>42</v>
      </c>
      <c r="L80" s="6" t="s">
        <v>127</v>
      </c>
      <c r="M80" s="6" t="s">
        <v>128</v>
      </c>
      <c r="N80" s="6" t="s">
        <v>57</v>
      </c>
      <c r="O80" s="6" t="s">
        <v>88</v>
      </c>
      <c r="P80" s="6" t="s">
        <v>89</v>
      </c>
      <c r="Q80" s="6" t="s">
        <v>129</v>
      </c>
      <c r="R80" s="6">
        <v>1</v>
      </c>
      <c r="S80" s="6">
        <v>0</v>
      </c>
      <c r="T80" s="6">
        <v>0</v>
      </c>
      <c r="U80" s="6" t="s">
        <v>34</v>
      </c>
    </row>
    <row r="81" spans="1:21" ht="19.5" x14ac:dyDescent="0.7">
      <c r="A81" s="6" t="s">
        <v>290</v>
      </c>
      <c r="B81" s="6" t="s">
        <v>291</v>
      </c>
      <c r="C81" s="6" t="s">
        <v>292</v>
      </c>
      <c r="D81" s="12" t="s">
        <v>442</v>
      </c>
      <c r="E81" s="6" t="s">
        <v>23</v>
      </c>
      <c r="F81" s="6" t="s">
        <v>54</v>
      </c>
      <c r="G81" s="6" t="s">
        <v>23</v>
      </c>
      <c r="H81" s="6" t="s">
        <v>25</v>
      </c>
      <c r="I81" s="6" t="s">
        <v>25</v>
      </c>
      <c r="J81" s="6" t="s">
        <v>55</v>
      </c>
      <c r="K81" s="6" t="s">
        <v>42</v>
      </c>
      <c r="L81" s="6" t="s">
        <v>127</v>
      </c>
      <c r="M81" s="6" t="s">
        <v>128</v>
      </c>
      <c r="N81" s="6" t="s">
        <v>57</v>
      </c>
      <c r="O81" s="6" t="s">
        <v>88</v>
      </c>
      <c r="P81" s="6" t="s">
        <v>89</v>
      </c>
      <c r="Q81" s="6" t="s">
        <v>129</v>
      </c>
      <c r="R81" s="6">
        <v>1</v>
      </c>
      <c r="S81" s="6">
        <v>0</v>
      </c>
      <c r="T81" s="6">
        <v>0</v>
      </c>
      <c r="U81" s="6" t="s">
        <v>34</v>
      </c>
    </row>
    <row r="82" spans="1:21" ht="19.5" x14ac:dyDescent="0.7">
      <c r="A82" s="6" t="s">
        <v>293</v>
      </c>
      <c r="B82" s="6" t="s">
        <v>294</v>
      </c>
      <c r="C82" s="6" t="s">
        <v>295</v>
      </c>
      <c r="D82" s="12" t="s">
        <v>441</v>
      </c>
      <c r="E82" s="6" t="s">
        <v>23</v>
      </c>
      <c r="F82" s="6" t="s">
        <v>54</v>
      </c>
      <c r="G82" s="6" t="s">
        <v>23</v>
      </c>
      <c r="H82" s="6" t="s">
        <v>151</v>
      </c>
      <c r="I82" s="6" t="s">
        <v>151</v>
      </c>
      <c r="J82" s="6" t="s">
        <v>23</v>
      </c>
      <c r="K82" s="6" t="s">
        <v>23</v>
      </c>
      <c r="L82" s="6" t="s">
        <v>23</v>
      </c>
      <c r="M82" s="6" t="s">
        <v>23</v>
      </c>
      <c r="N82" s="6" t="s">
        <v>23</v>
      </c>
      <c r="O82" s="6" t="s">
        <v>23</v>
      </c>
      <c r="P82" s="6">
        <v>0</v>
      </c>
      <c r="Q82" s="6">
        <v>0</v>
      </c>
      <c r="R82" s="6">
        <v>0</v>
      </c>
      <c r="S82" s="6" t="s">
        <v>34</v>
      </c>
      <c r="T82" s="6"/>
      <c r="U82" s="6"/>
    </row>
    <row r="83" spans="1:21" ht="19.5" x14ac:dyDescent="0.7">
      <c r="A83" s="6" t="s">
        <v>296</v>
      </c>
      <c r="B83" s="6" t="s">
        <v>297</v>
      </c>
      <c r="C83" s="6" t="s">
        <v>298</v>
      </c>
      <c r="D83" s="12" t="s">
        <v>442</v>
      </c>
      <c r="E83" s="6" t="s">
        <v>23</v>
      </c>
      <c r="F83" s="6" t="s">
        <v>54</v>
      </c>
      <c r="G83" s="6" t="s">
        <v>23</v>
      </c>
      <c r="H83" s="6" t="s">
        <v>151</v>
      </c>
      <c r="I83" s="6" t="s">
        <v>151</v>
      </c>
      <c r="J83" s="6" t="s">
        <v>23</v>
      </c>
      <c r="K83" s="6" t="s">
        <v>23</v>
      </c>
      <c r="L83" s="6" t="s">
        <v>23</v>
      </c>
      <c r="M83" s="6" t="s">
        <v>23</v>
      </c>
      <c r="N83" s="6" t="s">
        <v>23</v>
      </c>
      <c r="O83" s="6" t="s">
        <v>23</v>
      </c>
      <c r="P83" s="6">
        <v>0</v>
      </c>
      <c r="Q83" s="6">
        <v>0</v>
      </c>
      <c r="R83" s="6">
        <v>0</v>
      </c>
      <c r="S83" s="6" t="s">
        <v>34</v>
      </c>
      <c r="T83" s="6"/>
      <c r="U83" s="6"/>
    </row>
    <row r="84" spans="1:21" ht="19.5" x14ac:dyDescent="0.7">
      <c r="A84" s="6" t="s">
        <v>299</v>
      </c>
      <c r="B84" s="6" t="s">
        <v>300</v>
      </c>
      <c r="C84" s="6" t="s">
        <v>301</v>
      </c>
      <c r="D84" s="12" t="s">
        <v>441</v>
      </c>
      <c r="E84" s="6" t="s">
        <v>23</v>
      </c>
      <c r="F84" s="6" t="s">
        <v>54</v>
      </c>
      <c r="G84" s="6" t="s">
        <v>23</v>
      </c>
      <c r="H84" s="6" t="s">
        <v>25</v>
      </c>
      <c r="I84" s="6" t="s">
        <v>25</v>
      </c>
      <c r="J84" s="6" t="s">
        <v>55</v>
      </c>
      <c r="K84" s="6" t="s">
        <v>42</v>
      </c>
      <c r="L84" s="6" t="s">
        <v>127</v>
      </c>
      <c r="M84" s="6" t="s">
        <v>128</v>
      </c>
      <c r="N84" s="6" t="s">
        <v>57</v>
      </c>
      <c r="O84" s="6" t="s">
        <v>88</v>
      </c>
      <c r="P84" s="6" t="s">
        <v>89</v>
      </c>
      <c r="Q84" s="6" t="s">
        <v>129</v>
      </c>
      <c r="R84" s="6">
        <v>1</v>
      </c>
      <c r="S84" s="6">
        <v>0</v>
      </c>
      <c r="T84" s="6">
        <v>0</v>
      </c>
      <c r="U84" s="6" t="s">
        <v>34</v>
      </c>
    </row>
    <row r="85" spans="1:21" ht="19.5" x14ac:dyDescent="0.7">
      <c r="A85" s="6" t="s">
        <v>302</v>
      </c>
      <c r="B85" s="6" t="s">
        <v>303</v>
      </c>
      <c r="C85" s="6" t="s">
        <v>304</v>
      </c>
      <c r="D85" s="12" t="s">
        <v>442</v>
      </c>
      <c r="E85" s="6" t="s">
        <v>23</v>
      </c>
      <c r="F85" s="6" t="s">
        <v>54</v>
      </c>
      <c r="G85" s="6" t="s">
        <v>23</v>
      </c>
      <c r="H85" s="6" t="s">
        <v>25</v>
      </c>
      <c r="I85" s="6" t="s">
        <v>25</v>
      </c>
      <c r="J85" s="6" t="s">
        <v>55</v>
      </c>
      <c r="K85" s="6" t="s">
        <v>42</v>
      </c>
      <c r="L85" s="6" t="s">
        <v>127</v>
      </c>
      <c r="M85" s="6" t="s">
        <v>128</v>
      </c>
      <c r="N85" s="6" t="s">
        <v>57</v>
      </c>
      <c r="O85" s="6" t="s">
        <v>88</v>
      </c>
      <c r="P85" s="6" t="s">
        <v>89</v>
      </c>
      <c r="Q85" s="6" t="s">
        <v>129</v>
      </c>
      <c r="R85" s="6">
        <v>1</v>
      </c>
      <c r="S85" s="6">
        <v>0</v>
      </c>
      <c r="T85" s="6">
        <v>0</v>
      </c>
      <c r="U85" s="6" t="s">
        <v>34</v>
      </c>
    </row>
    <row r="86" spans="1:21" ht="19.5" x14ac:dyDescent="0.7">
      <c r="A86" s="6" t="s">
        <v>305</v>
      </c>
      <c r="B86" s="6" t="s">
        <v>306</v>
      </c>
      <c r="C86" s="6" t="s">
        <v>307</v>
      </c>
      <c r="D86" s="12" t="s">
        <v>442</v>
      </c>
      <c r="E86" s="6" t="s">
        <v>23</v>
      </c>
      <c r="F86" s="6" t="s">
        <v>54</v>
      </c>
      <c r="G86" s="6" t="s">
        <v>23</v>
      </c>
      <c r="H86" s="6" t="s">
        <v>25</v>
      </c>
      <c r="I86" s="6" t="s">
        <v>25</v>
      </c>
      <c r="J86" s="6" t="s">
        <v>55</v>
      </c>
      <c r="K86" s="6" t="s">
        <v>42</v>
      </c>
      <c r="L86" s="6" t="s">
        <v>127</v>
      </c>
      <c r="M86" s="6" t="s">
        <v>128</v>
      </c>
      <c r="N86" s="6" t="s">
        <v>57</v>
      </c>
      <c r="O86" s="6" t="s">
        <v>88</v>
      </c>
      <c r="P86" s="6" t="s">
        <v>89</v>
      </c>
      <c r="Q86" s="6" t="s">
        <v>129</v>
      </c>
      <c r="R86" s="6">
        <v>1</v>
      </c>
      <c r="S86" s="6">
        <v>0</v>
      </c>
      <c r="T86" s="6">
        <v>0</v>
      </c>
      <c r="U86" s="6" t="s">
        <v>34</v>
      </c>
    </row>
    <row r="87" spans="1:21" ht="19.5" x14ac:dyDescent="0.7">
      <c r="A87" s="6" t="s">
        <v>308</v>
      </c>
      <c r="B87" s="6" t="s">
        <v>309</v>
      </c>
      <c r="C87" s="6" t="s">
        <v>310</v>
      </c>
      <c r="D87" s="12" t="s">
        <v>441</v>
      </c>
      <c r="E87" s="6" t="s">
        <v>23</v>
      </c>
      <c r="F87" s="6" t="s">
        <v>54</v>
      </c>
      <c r="G87" s="6" t="s">
        <v>23</v>
      </c>
      <c r="H87" s="6" t="s">
        <v>25</v>
      </c>
      <c r="I87" s="6" t="s">
        <v>25</v>
      </c>
      <c r="J87" s="6" t="s">
        <v>55</v>
      </c>
      <c r="K87" s="6" t="s">
        <v>42</v>
      </c>
      <c r="L87" s="6" t="s">
        <v>127</v>
      </c>
      <c r="M87" s="6" t="s">
        <v>128</v>
      </c>
      <c r="N87" s="6" t="s">
        <v>57</v>
      </c>
      <c r="O87" s="6" t="s">
        <v>88</v>
      </c>
      <c r="P87" s="6" t="s">
        <v>89</v>
      </c>
      <c r="Q87" s="6" t="s">
        <v>129</v>
      </c>
      <c r="R87" s="6">
        <v>1</v>
      </c>
      <c r="S87" s="6">
        <v>0</v>
      </c>
      <c r="T87" s="6">
        <v>0</v>
      </c>
      <c r="U87" s="6" t="s">
        <v>34</v>
      </c>
    </row>
    <row r="88" spans="1:21" ht="19.5" x14ac:dyDescent="0.7">
      <c r="A88" s="6" t="s">
        <v>311</v>
      </c>
      <c r="B88" s="6" t="s">
        <v>312</v>
      </c>
      <c r="C88" s="6" t="s">
        <v>313</v>
      </c>
      <c r="D88" s="12" t="s">
        <v>442</v>
      </c>
      <c r="E88" s="6" t="s">
        <v>23</v>
      </c>
      <c r="F88" s="6" t="s">
        <v>54</v>
      </c>
      <c r="G88" s="6" t="s">
        <v>23</v>
      </c>
      <c r="H88" s="6" t="s">
        <v>25</v>
      </c>
      <c r="I88" s="6" t="s">
        <v>25</v>
      </c>
      <c r="J88" s="6" t="s">
        <v>55</v>
      </c>
      <c r="K88" s="6" t="s">
        <v>42</v>
      </c>
      <c r="L88" s="6" t="s">
        <v>127</v>
      </c>
      <c r="M88" s="6" t="s">
        <v>128</v>
      </c>
      <c r="N88" s="6" t="s">
        <v>57</v>
      </c>
      <c r="O88" s="6" t="s">
        <v>88</v>
      </c>
      <c r="P88" s="6" t="s">
        <v>89</v>
      </c>
      <c r="Q88" s="6" t="s">
        <v>129</v>
      </c>
      <c r="R88" s="6">
        <v>1</v>
      </c>
      <c r="S88" s="6">
        <v>0</v>
      </c>
      <c r="T88" s="6">
        <v>0</v>
      </c>
      <c r="U88" s="6" t="s">
        <v>34</v>
      </c>
    </row>
    <row r="89" spans="1:21" ht="19.5" x14ac:dyDescent="0.7">
      <c r="A89" s="6" t="s">
        <v>314</v>
      </c>
      <c r="B89" s="6" t="s">
        <v>315</v>
      </c>
      <c r="C89" s="6" t="s">
        <v>316</v>
      </c>
      <c r="D89" s="12" t="s">
        <v>442</v>
      </c>
      <c r="E89" s="6" t="s">
        <v>23</v>
      </c>
      <c r="F89" s="6" t="s">
        <v>54</v>
      </c>
      <c r="G89" s="6" t="s">
        <v>23</v>
      </c>
      <c r="H89" s="6" t="s">
        <v>25</v>
      </c>
      <c r="I89" s="6" t="s">
        <v>25</v>
      </c>
      <c r="J89" s="6" t="s">
        <v>55</v>
      </c>
      <c r="K89" s="6" t="s">
        <v>42</v>
      </c>
      <c r="L89" s="6" t="s">
        <v>127</v>
      </c>
      <c r="M89" s="6" t="s">
        <v>128</v>
      </c>
      <c r="N89" s="6" t="s">
        <v>57</v>
      </c>
      <c r="O89" s="6" t="s">
        <v>88</v>
      </c>
      <c r="P89" s="6" t="s">
        <v>89</v>
      </c>
      <c r="Q89" s="6" t="s">
        <v>129</v>
      </c>
      <c r="R89" s="6">
        <v>1</v>
      </c>
      <c r="S89" s="6">
        <v>0</v>
      </c>
      <c r="T89" s="6">
        <v>0</v>
      </c>
      <c r="U89" s="6" t="s">
        <v>34</v>
      </c>
    </row>
    <row r="90" spans="1:21" ht="19.5" x14ac:dyDescent="0.7">
      <c r="A90" s="6" t="s">
        <v>317</v>
      </c>
      <c r="B90" s="6" t="s">
        <v>318</v>
      </c>
      <c r="C90" s="6" t="s">
        <v>319</v>
      </c>
      <c r="D90" s="12" t="s">
        <v>442</v>
      </c>
      <c r="E90" s="6" t="s">
        <v>23</v>
      </c>
      <c r="F90" s="6" t="s">
        <v>54</v>
      </c>
      <c r="G90" s="6" t="s">
        <v>23</v>
      </c>
      <c r="H90" s="6" t="s">
        <v>151</v>
      </c>
      <c r="I90" s="6" t="s">
        <v>151</v>
      </c>
      <c r="J90" s="6" t="s">
        <v>23</v>
      </c>
      <c r="K90" s="6" t="s">
        <v>23</v>
      </c>
      <c r="L90" s="6" t="s">
        <v>23</v>
      </c>
      <c r="M90" s="6" t="s">
        <v>23</v>
      </c>
      <c r="N90" s="6" t="s">
        <v>23</v>
      </c>
      <c r="O90" s="6" t="s">
        <v>23</v>
      </c>
      <c r="P90" s="6">
        <v>0</v>
      </c>
      <c r="Q90" s="6">
        <v>0</v>
      </c>
      <c r="R90" s="6">
        <v>0</v>
      </c>
      <c r="S90" s="6" t="s">
        <v>34</v>
      </c>
      <c r="T90" s="6"/>
      <c r="U90" s="6"/>
    </row>
    <row r="91" spans="1:21" ht="19.5" x14ac:dyDescent="0.7">
      <c r="A91" s="6" t="s">
        <v>320</v>
      </c>
      <c r="B91" s="6" t="s">
        <v>321</v>
      </c>
      <c r="C91" s="6" t="s">
        <v>322</v>
      </c>
      <c r="D91" s="12" t="s">
        <v>442</v>
      </c>
      <c r="E91" s="6" t="s">
        <v>23</v>
      </c>
      <c r="F91" s="6" t="s">
        <v>54</v>
      </c>
      <c r="G91" s="6" t="s">
        <v>23</v>
      </c>
      <c r="H91" s="6" t="s">
        <v>25</v>
      </c>
      <c r="I91" s="6" t="s">
        <v>25</v>
      </c>
      <c r="J91" s="6" t="s">
        <v>55</v>
      </c>
      <c r="K91" s="6" t="s">
        <v>42</v>
      </c>
      <c r="L91" s="6" t="s">
        <v>127</v>
      </c>
      <c r="M91" s="6" t="s">
        <v>128</v>
      </c>
      <c r="N91" s="6" t="s">
        <v>57</v>
      </c>
      <c r="O91" s="6" t="s">
        <v>88</v>
      </c>
      <c r="P91" s="6" t="s">
        <v>89</v>
      </c>
      <c r="Q91" s="6" t="s">
        <v>129</v>
      </c>
      <c r="R91" s="6">
        <v>1</v>
      </c>
      <c r="S91" s="6">
        <v>0</v>
      </c>
      <c r="T91" s="6">
        <v>0</v>
      </c>
      <c r="U91" s="6" t="s">
        <v>34</v>
      </c>
    </row>
    <row r="92" spans="1:21" ht="19.5" x14ac:dyDescent="0.7">
      <c r="A92" s="6" t="s">
        <v>323</v>
      </c>
      <c r="B92" s="6" t="s">
        <v>324</v>
      </c>
      <c r="C92" s="6" t="s">
        <v>325</v>
      </c>
      <c r="D92" s="12" t="s">
        <v>442</v>
      </c>
      <c r="E92" s="6" t="s">
        <v>23</v>
      </c>
      <c r="F92" s="6" t="s">
        <v>54</v>
      </c>
      <c r="G92" s="6" t="s">
        <v>23</v>
      </c>
      <c r="H92" s="6" t="s">
        <v>25</v>
      </c>
      <c r="I92" s="6" t="s">
        <v>25</v>
      </c>
      <c r="J92" s="6" t="s">
        <v>55</v>
      </c>
      <c r="K92" s="6" t="s">
        <v>42</v>
      </c>
      <c r="L92" s="6" t="s">
        <v>127</v>
      </c>
      <c r="M92" s="6" t="s">
        <v>128</v>
      </c>
      <c r="N92" s="6" t="s">
        <v>57</v>
      </c>
      <c r="O92" s="6" t="s">
        <v>88</v>
      </c>
      <c r="P92" s="6" t="s">
        <v>89</v>
      </c>
      <c r="Q92" s="6" t="s">
        <v>129</v>
      </c>
      <c r="R92" s="6">
        <v>1</v>
      </c>
      <c r="S92" s="6">
        <v>0</v>
      </c>
      <c r="T92" s="6">
        <v>0</v>
      </c>
      <c r="U92" s="6" t="s">
        <v>34</v>
      </c>
    </row>
    <row r="93" spans="1:21" ht="19.5" x14ac:dyDescent="0.7">
      <c r="A93" s="6" t="s">
        <v>326</v>
      </c>
      <c r="B93" s="6" t="s">
        <v>327</v>
      </c>
      <c r="C93" s="6" t="s">
        <v>328</v>
      </c>
      <c r="D93" s="12" t="s">
        <v>442</v>
      </c>
      <c r="E93" s="6" t="s">
        <v>23</v>
      </c>
      <c r="F93" s="6" t="s">
        <v>54</v>
      </c>
      <c r="G93" s="6" t="s">
        <v>23</v>
      </c>
      <c r="H93" s="6" t="s">
        <v>25</v>
      </c>
      <c r="I93" s="6" t="s">
        <v>25</v>
      </c>
      <c r="J93" s="6" t="s">
        <v>55</v>
      </c>
      <c r="K93" s="6" t="s">
        <v>42</v>
      </c>
      <c r="L93" s="6" t="s">
        <v>127</v>
      </c>
      <c r="M93" s="6" t="s">
        <v>128</v>
      </c>
      <c r="N93" s="6" t="s">
        <v>57</v>
      </c>
      <c r="O93" s="6" t="s">
        <v>88</v>
      </c>
      <c r="P93" s="6" t="s">
        <v>89</v>
      </c>
      <c r="Q93" s="6" t="s">
        <v>129</v>
      </c>
      <c r="R93" s="6">
        <v>1</v>
      </c>
      <c r="S93" s="6">
        <v>0</v>
      </c>
      <c r="T93" s="6">
        <v>0</v>
      </c>
      <c r="U93" s="6" t="s">
        <v>34</v>
      </c>
    </row>
    <row r="94" spans="1:21" ht="19.5" x14ac:dyDescent="0.7">
      <c r="A94" s="6" t="s">
        <v>329</v>
      </c>
      <c r="B94" s="6" t="s">
        <v>330</v>
      </c>
      <c r="C94" s="6" t="s">
        <v>331</v>
      </c>
      <c r="D94" s="12" t="s">
        <v>441</v>
      </c>
      <c r="E94" s="6" t="s">
        <v>23</v>
      </c>
      <c r="F94" s="6" t="s">
        <v>54</v>
      </c>
      <c r="G94" s="6" t="s">
        <v>23</v>
      </c>
      <c r="H94" s="6" t="s">
        <v>151</v>
      </c>
      <c r="I94" s="6" t="s">
        <v>151</v>
      </c>
      <c r="J94" s="6" t="s">
        <v>23</v>
      </c>
      <c r="K94" s="6" t="s">
        <v>23</v>
      </c>
      <c r="L94" s="6" t="s">
        <v>23</v>
      </c>
      <c r="M94" s="6" t="s">
        <v>23</v>
      </c>
      <c r="N94" s="6" t="s">
        <v>23</v>
      </c>
      <c r="O94" s="6" t="s">
        <v>23</v>
      </c>
      <c r="P94" s="6">
        <v>0</v>
      </c>
      <c r="Q94" s="6">
        <v>0</v>
      </c>
      <c r="R94" s="6">
        <v>0</v>
      </c>
      <c r="S94" s="6" t="s">
        <v>34</v>
      </c>
      <c r="T94" s="6"/>
      <c r="U94" s="6"/>
    </row>
    <row r="95" spans="1:21" ht="19.5" x14ac:dyDescent="0.7">
      <c r="A95" s="6" t="s">
        <v>332</v>
      </c>
      <c r="B95" s="6" t="s">
        <v>333</v>
      </c>
      <c r="C95" s="6" t="s">
        <v>334</v>
      </c>
      <c r="D95" s="12" t="s">
        <v>442</v>
      </c>
      <c r="E95" s="6" t="s">
        <v>23</v>
      </c>
      <c r="F95" s="6" t="s">
        <v>54</v>
      </c>
      <c r="G95" s="6" t="s">
        <v>23</v>
      </c>
      <c r="H95" s="6" t="s">
        <v>25</v>
      </c>
      <c r="I95" s="6" t="s">
        <v>25</v>
      </c>
      <c r="J95" s="6" t="s">
        <v>55</v>
      </c>
      <c r="K95" s="6" t="s">
        <v>42</v>
      </c>
      <c r="L95" s="6" t="s">
        <v>127</v>
      </c>
      <c r="M95" s="6" t="s">
        <v>128</v>
      </c>
      <c r="N95" s="6" t="s">
        <v>57</v>
      </c>
      <c r="O95" s="6" t="s">
        <v>88</v>
      </c>
      <c r="P95" s="6" t="s">
        <v>89</v>
      </c>
      <c r="Q95" s="6" t="s">
        <v>129</v>
      </c>
      <c r="R95" s="6">
        <v>1</v>
      </c>
      <c r="S95" s="6">
        <v>0</v>
      </c>
      <c r="T95" s="6">
        <v>0</v>
      </c>
      <c r="U95" s="6" t="s">
        <v>34</v>
      </c>
    </row>
    <row r="96" spans="1:21" ht="19.5" x14ac:dyDescent="0.7">
      <c r="A96" s="6" t="s">
        <v>335</v>
      </c>
      <c r="B96" s="6" t="s">
        <v>336</v>
      </c>
      <c r="C96" s="6" t="s">
        <v>337</v>
      </c>
      <c r="D96" s="12" t="s">
        <v>442</v>
      </c>
      <c r="E96" s="6" t="s">
        <v>23</v>
      </c>
      <c r="F96" s="6" t="s">
        <v>54</v>
      </c>
      <c r="G96" s="6" t="s">
        <v>23</v>
      </c>
      <c r="H96" s="6" t="s">
        <v>25</v>
      </c>
      <c r="I96" s="6" t="s">
        <v>25</v>
      </c>
      <c r="J96" s="6" t="s">
        <v>55</v>
      </c>
      <c r="K96" s="6" t="s">
        <v>42</v>
      </c>
      <c r="L96" s="6" t="s">
        <v>127</v>
      </c>
      <c r="M96" s="6" t="s">
        <v>128</v>
      </c>
      <c r="N96" s="6" t="s">
        <v>57</v>
      </c>
      <c r="O96" s="6" t="s">
        <v>88</v>
      </c>
      <c r="P96" s="6" t="s">
        <v>89</v>
      </c>
      <c r="Q96" s="6" t="s">
        <v>129</v>
      </c>
      <c r="R96" s="6">
        <v>1</v>
      </c>
      <c r="S96" s="6">
        <v>0</v>
      </c>
      <c r="T96" s="6">
        <v>0</v>
      </c>
      <c r="U96" s="6" t="s">
        <v>34</v>
      </c>
    </row>
    <row r="97" spans="1:21" ht="19.5" x14ac:dyDescent="0.7">
      <c r="A97" s="6" t="s">
        <v>338</v>
      </c>
      <c r="B97" s="6" t="s">
        <v>339</v>
      </c>
      <c r="C97" s="6" t="s">
        <v>340</v>
      </c>
      <c r="D97" s="12" t="s">
        <v>442</v>
      </c>
      <c r="E97" s="6" t="s">
        <v>23</v>
      </c>
      <c r="F97" s="6" t="s">
        <v>54</v>
      </c>
      <c r="G97" s="6" t="s">
        <v>23</v>
      </c>
      <c r="H97" s="6" t="s">
        <v>25</v>
      </c>
      <c r="I97" s="6" t="s">
        <v>25</v>
      </c>
      <c r="J97" s="6" t="s">
        <v>55</v>
      </c>
      <c r="K97" s="6" t="s">
        <v>42</v>
      </c>
      <c r="L97" s="6" t="s">
        <v>127</v>
      </c>
      <c r="M97" s="6" t="s">
        <v>128</v>
      </c>
      <c r="N97" s="6" t="s">
        <v>57</v>
      </c>
      <c r="O97" s="6" t="s">
        <v>88</v>
      </c>
      <c r="P97" s="6" t="s">
        <v>89</v>
      </c>
      <c r="Q97" s="6" t="s">
        <v>129</v>
      </c>
      <c r="R97" s="6">
        <v>1</v>
      </c>
      <c r="S97" s="6">
        <v>0</v>
      </c>
      <c r="T97" s="6">
        <v>0</v>
      </c>
      <c r="U97" s="6" t="s">
        <v>34</v>
      </c>
    </row>
    <row r="98" spans="1:21" ht="19.5" x14ac:dyDescent="0.7">
      <c r="A98" s="6" t="s">
        <v>341</v>
      </c>
      <c r="B98" s="6" t="s">
        <v>342</v>
      </c>
      <c r="C98" s="6" t="s">
        <v>343</v>
      </c>
      <c r="D98" s="12" t="s">
        <v>442</v>
      </c>
      <c r="E98" s="6" t="s">
        <v>23</v>
      </c>
      <c r="F98" s="6" t="s">
        <v>54</v>
      </c>
      <c r="G98" s="6" t="s">
        <v>23</v>
      </c>
      <c r="H98" s="6" t="s">
        <v>25</v>
      </c>
      <c r="I98" s="6" t="s">
        <v>25</v>
      </c>
      <c r="J98" s="6" t="s">
        <v>55</v>
      </c>
      <c r="K98" s="6" t="s">
        <v>42</v>
      </c>
      <c r="L98" s="6" t="s">
        <v>127</v>
      </c>
      <c r="M98" s="6" t="s">
        <v>128</v>
      </c>
      <c r="N98" s="6" t="s">
        <v>57</v>
      </c>
      <c r="O98" s="6" t="s">
        <v>88</v>
      </c>
      <c r="P98" s="6" t="s">
        <v>89</v>
      </c>
      <c r="Q98" s="6" t="s">
        <v>129</v>
      </c>
      <c r="R98" s="6">
        <v>1</v>
      </c>
      <c r="S98" s="6">
        <v>0</v>
      </c>
      <c r="T98" s="6">
        <v>0</v>
      </c>
      <c r="U98" s="6" t="s">
        <v>34</v>
      </c>
    </row>
    <row r="99" spans="1:21" ht="19.5" x14ac:dyDescent="0.7">
      <c r="A99" s="6" t="s">
        <v>344</v>
      </c>
      <c r="B99" s="6" t="s">
        <v>345</v>
      </c>
      <c r="C99" s="6" t="s">
        <v>346</v>
      </c>
      <c r="D99" s="12" t="s">
        <v>442</v>
      </c>
      <c r="E99" s="6" t="s">
        <v>23</v>
      </c>
      <c r="F99" s="6" t="s">
        <v>54</v>
      </c>
      <c r="G99" s="6" t="s">
        <v>23</v>
      </c>
      <c r="H99" s="6" t="s">
        <v>151</v>
      </c>
      <c r="I99" s="6" t="s">
        <v>151</v>
      </c>
      <c r="J99" s="6" t="s">
        <v>23</v>
      </c>
      <c r="K99" s="6" t="s">
        <v>23</v>
      </c>
      <c r="L99" s="6" t="s">
        <v>23</v>
      </c>
      <c r="M99" s="6" t="s">
        <v>23</v>
      </c>
      <c r="N99" s="6" t="s">
        <v>23</v>
      </c>
      <c r="O99" s="6" t="s">
        <v>23</v>
      </c>
      <c r="P99" s="6">
        <v>0</v>
      </c>
      <c r="Q99" s="6">
        <v>0</v>
      </c>
      <c r="R99" s="6">
        <v>0</v>
      </c>
      <c r="S99" s="6" t="s">
        <v>34</v>
      </c>
      <c r="T99" s="6"/>
      <c r="U99" s="6"/>
    </row>
    <row r="100" spans="1:21" ht="19.5" x14ac:dyDescent="0.7">
      <c r="A100" s="6" t="s">
        <v>347</v>
      </c>
      <c r="B100" s="6" t="s">
        <v>348</v>
      </c>
      <c r="C100" s="6" t="s">
        <v>349</v>
      </c>
      <c r="D100" s="12" t="s">
        <v>442</v>
      </c>
      <c r="E100" s="6" t="s">
        <v>23</v>
      </c>
      <c r="F100" s="6" t="s">
        <v>54</v>
      </c>
      <c r="G100" s="6" t="s">
        <v>23</v>
      </c>
      <c r="H100" s="6" t="s">
        <v>25</v>
      </c>
      <c r="I100" s="6" t="s">
        <v>25</v>
      </c>
      <c r="J100" s="6" t="s">
        <v>55</v>
      </c>
      <c r="K100" s="6" t="s">
        <v>42</v>
      </c>
      <c r="L100" s="6" t="s">
        <v>127</v>
      </c>
      <c r="M100" s="6" t="s">
        <v>128</v>
      </c>
      <c r="N100" s="6" t="s">
        <v>57</v>
      </c>
      <c r="O100" s="6" t="s">
        <v>88</v>
      </c>
      <c r="P100" s="6" t="s">
        <v>89</v>
      </c>
      <c r="Q100" s="6" t="s">
        <v>129</v>
      </c>
      <c r="R100" s="6">
        <v>1</v>
      </c>
      <c r="S100" s="6">
        <v>0</v>
      </c>
      <c r="T100" s="6">
        <v>0</v>
      </c>
      <c r="U100" s="6" t="s">
        <v>34</v>
      </c>
    </row>
    <row r="101" spans="1:21" ht="19.5" x14ac:dyDescent="0.7">
      <c r="A101" s="6" t="s">
        <v>350</v>
      </c>
      <c r="B101" s="6" t="s">
        <v>351</v>
      </c>
      <c r="C101" s="6" t="s">
        <v>352</v>
      </c>
      <c r="D101" s="12" t="s">
        <v>442</v>
      </c>
      <c r="E101" s="6" t="s">
        <v>23</v>
      </c>
      <c r="F101" s="6" t="s">
        <v>54</v>
      </c>
      <c r="G101" s="6" t="s">
        <v>23</v>
      </c>
      <c r="H101" s="6" t="s">
        <v>25</v>
      </c>
      <c r="I101" s="6" t="s">
        <v>25</v>
      </c>
      <c r="J101" s="6" t="s">
        <v>55</v>
      </c>
      <c r="K101" s="6" t="s">
        <v>42</v>
      </c>
      <c r="L101" s="6" t="s">
        <v>127</v>
      </c>
      <c r="M101" s="6" t="s">
        <v>128</v>
      </c>
      <c r="N101" s="6" t="s">
        <v>57</v>
      </c>
      <c r="O101" s="6" t="s">
        <v>88</v>
      </c>
      <c r="P101" s="6" t="s">
        <v>89</v>
      </c>
      <c r="Q101" s="6" t="s">
        <v>129</v>
      </c>
      <c r="R101" s="6">
        <v>1</v>
      </c>
      <c r="S101" s="6">
        <v>0</v>
      </c>
      <c r="T101" s="6">
        <v>0</v>
      </c>
      <c r="U101" s="6" t="s">
        <v>34</v>
      </c>
    </row>
    <row r="102" spans="1:21" ht="19.5" x14ac:dyDescent="0.7">
      <c r="A102" s="6" t="s">
        <v>353</v>
      </c>
      <c r="B102" s="6" t="s">
        <v>354</v>
      </c>
      <c r="C102" s="6" t="s">
        <v>355</v>
      </c>
      <c r="D102" s="12" t="s">
        <v>442</v>
      </c>
      <c r="E102" s="6" t="s">
        <v>23</v>
      </c>
      <c r="F102" s="6" t="s">
        <v>54</v>
      </c>
      <c r="G102" s="6" t="s">
        <v>23</v>
      </c>
      <c r="H102" s="6" t="s">
        <v>25</v>
      </c>
      <c r="I102" s="6" t="s">
        <v>25</v>
      </c>
      <c r="J102" s="6" t="s">
        <v>55</v>
      </c>
      <c r="K102" s="6" t="s">
        <v>42</v>
      </c>
      <c r="L102" s="6" t="s">
        <v>127</v>
      </c>
      <c r="M102" s="6" t="s">
        <v>128</v>
      </c>
      <c r="N102" s="6" t="s">
        <v>57</v>
      </c>
      <c r="O102" s="6" t="s">
        <v>88</v>
      </c>
      <c r="P102" s="6" t="s">
        <v>89</v>
      </c>
      <c r="Q102" s="6" t="s">
        <v>129</v>
      </c>
      <c r="R102" s="6">
        <v>1</v>
      </c>
      <c r="S102" s="6">
        <v>0</v>
      </c>
      <c r="T102" s="6">
        <v>0</v>
      </c>
      <c r="U102" s="6" t="s">
        <v>34</v>
      </c>
    </row>
    <row r="103" spans="1:21" ht="19.5" x14ac:dyDescent="0.7">
      <c r="A103" s="6" t="s">
        <v>356</v>
      </c>
      <c r="B103" s="6" t="s">
        <v>357</v>
      </c>
      <c r="C103" s="6" t="s">
        <v>358</v>
      </c>
      <c r="D103" s="12" t="s">
        <v>441</v>
      </c>
      <c r="E103" s="6" t="s">
        <v>23</v>
      </c>
      <c r="F103" s="6" t="s">
        <v>54</v>
      </c>
      <c r="G103" s="6" t="s">
        <v>23</v>
      </c>
      <c r="H103" s="6" t="s">
        <v>151</v>
      </c>
      <c r="I103" s="6" t="s">
        <v>151</v>
      </c>
      <c r="J103" s="6" t="s">
        <v>23</v>
      </c>
      <c r="K103" s="6" t="s">
        <v>23</v>
      </c>
      <c r="L103" s="6" t="s">
        <v>23</v>
      </c>
      <c r="M103" s="6" t="s">
        <v>23</v>
      </c>
      <c r="N103" s="6" t="s">
        <v>23</v>
      </c>
      <c r="O103" s="6" t="s">
        <v>23</v>
      </c>
      <c r="P103" s="6">
        <v>0</v>
      </c>
      <c r="Q103" s="6">
        <v>0</v>
      </c>
      <c r="R103" s="6">
        <v>0</v>
      </c>
      <c r="S103" s="6" t="s">
        <v>34</v>
      </c>
      <c r="T103" s="6"/>
      <c r="U103" s="6"/>
    </row>
    <row r="104" spans="1:21" ht="19.5" x14ac:dyDescent="0.7">
      <c r="A104" s="6" t="s">
        <v>359</v>
      </c>
      <c r="B104" s="6" t="s">
        <v>360</v>
      </c>
      <c r="C104" s="6" t="s">
        <v>361</v>
      </c>
      <c r="D104" s="12" t="s">
        <v>441</v>
      </c>
      <c r="E104" s="6" t="s">
        <v>23</v>
      </c>
      <c r="F104" s="6" t="s">
        <v>54</v>
      </c>
      <c r="G104" s="6" t="s">
        <v>23</v>
      </c>
      <c r="H104" s="6" t="s">
        <v>25</v>
      </c>
      <c r="I104" s="6" t="s">
        <v>25</v>
      </c>
      <c r="J104" s="6" t="s">
        <v>55</v>
      </c>
      <c r="K104" s="6" t="s">
        <v>42</v>
      </c>
      <c r="L104" s="6" t="s">
        <v>127</v>
      </c>
      <c r="M104" s="6" t="s">
        <v>128</v>
      </c>
      <c r="N104" s="6" t="s">
        <v>57</v>
      </c>
      <c r="O104" s="6" t="s">
        <v>88</v>
      </c>
      <c r="P104" s="6" t="s">
        <v>89</v>
      </c>
      <c r="Q104" s="6" t="s">
        <v>129</v>
      </c>
      <c r="R104" s="6">
        <v>1</v>
      </c>
      <c r="S104" s="6">
        <v>0</v>
      </c>
      <c r="T104" s="6">
        <v>0</v>
      </c>
      <c r="U104" s="6" t="s">
        <v>34</v>
      </c>
    </row>
    <row r="105" spans="1:21" ht="19.5" x14ac:dyDescent="0.7">
      <c r="A105" s="6" t="s">
        <v>362</v>
      </c>
      <c r="B105" s="6" t="s">
        <v>363</v>
      </c>
      <c r="C105" s="6" t="s">
        <v>364</v>
      </c>
      <c r="D105" s="12" t="s">
        <v>442</v>
      </c>
      <c r="E105" s="6" t="s">
        <v>23</v>
      </c>
      <c r="F105" s="6" t="s">
        <v>54</v>
      </c>
      <c r="G105" s="6" t="s">
        <v>23</v>
      </c>
      <c r="H105" s="6" t="s">
        <v>25</v>
      </c>
      <c r="I105" s="6" t="s">
        <v>25</v>
      </c>
      <c r="J105" s="6" t="s">
        <v>55</v>
      </c>
      <c r="K105" s="6" t="s">
        <v>42</v>
      </c>
      <c r="L105" s="6" t="s">
        <v>127</v>
      </c>
      <c r="M105" s="6" t="s">
        <v>128</v>
      </c>
      <c r="N105" s="6" t="s">
        <v>57</v>
      </c>
      <c r="O105" s="6" t="s">
        <v>88</v>
      </c>
      <c r="P105" s="6" t="s">
        <v>89</v>
      </c>
      <c r="Q105" s="6" t="s">
        <v>129</v>
      </c>
      <c r="R105" s="6">
        <v>1</v>
      </c>
      <c r="S105" s="6">
        <v>0</v>
      </c>
      <c r="T105" s="6">
        <v>0</v>
      </c>
      <c r="U105" s="6" t="s">
        <v>34</v>
      </c>
    </row>
    <row r="106" spans="1:21" ht="19.5" x14ac:dyDescent="0.7">
      <c r="A106" s="6" t="s">
        <v>365</v>
      </c>
      <c r="B106" s="6" t="s">
        <v>366</v>
      </c>
      <c r="C106" s="6" t="s">
        <v>367</v>
      </c>
      <c r="D106" s="12" t="s">
        <v>442</v>
      </c>
      <c r="E106" s="6" t="s">
        <v>23</v>
      </c>
      <c r="F106" s="6" t="s">
        <v>54</v>
      </c>
      <c r="G106" s="6" t="s">
        <v>23</v>
      </c>
      <c r="H106" s="6" t="s">
        <v>25</v>
      </c>
      <c r="I106" s="6" t="s">
        <v>25</v>
      </c>
      <c r="J106" s="6" t="s">
        <v>55</v>
      </c>
      <c r="K106" s="6" t="s">
        <v>42</v>
      </c>
      <c r="L106" s="6" t="s">
        <v>127</v>
      </c>
      <c r="M106" s="6" t="s">
        <v>128</v>
      </c>
      <c r="N106" s="6" t="s">
        <v>57</v>
      </c>
      <c r="O106" s="6" t="s">
        <v>88</v>
      </c>
      <c r="P106" s="6" t="s">
        <v>89</v>
      </c>
      <c r="Q106" s="6" t="s">
        <v>129</v>
      </c>
      <c r="R106" s="6">
        <v>1</v>
      </c>
      <c r="S106" s="6">
        <v>0</v>
      </c>
      <c r="T106" s="6">
        <v>0</v>
      </c>
      <c r="U106" s="6" t="s">
        <v>34</v>
      </c>
    </row>
    <row r="107" spans="1:21" ht="19.5" x14ac:dyDescent="0.7">
      <c r="A107" s="6" t="s">
        <v>368</v>
      </c>
      <c r="B107" s="6" t="s">
        <v>369</v>
      </c>
      <c r="C107" s="6" t="s">
        <v>370</v>
      </c>
      <c r="D107" s="12" t="s">
        <v>442</v>
      </c>
      <c r="E107" s="6" t="s">
        <v>23</v>
      </c>
      <c r="F107" s="6" t="s">
        <v>54</v>
      </c>
      <c r="G107" s="6" t="s">
        <v>23</v>
      </c>
      <c r="H107" s="6" t="s">
        <v>25</v>
      </c>
      <c r="I107" s="6" t="s">
        <v>25</v>
      </c>
      <c r="J107" s="6" t="s">
        <v>55</v>
      </c>
      <c r="K107" s="6" t="s">
        <v>42</v>
      </c>
      <c r="L107" s="6" t="s">
        <v>127</v>
      </c>
      <c r="M107" s="6" t="s">
        <v>128</v>
      </c>
      <c r="N107" s="6" t="s">
        <v>57</v>
      </c>
      <c r="O107" s="6" t="s">
        <v>88</v>
      </c>
      <c r="P107" s="6" t="s">
        <v>89</v>
      </c>
      <c r="Q107" s="6" t="s">
        <v>129</v>
      </c>
      <c r="R107" s="6">
        <v>1</v>
      </c>
      <c r="S107" s="6">
        <v>0</v>
      </c>
      <c r="T107" s="6">
        <v>0</v>
      </c>
      <c r="U107" s="6" t="s">
        <v>34</v>
      </c>
    </row>
    <row r="108" spans="1:21" ht="19.5" x14ac:dyDescent="0.7">
      <c r="A108" s="6" t="s">
        <v>371</v>
      </c>
      <c r="B108" s="6" t="s">
        <v>372</v>
      </c>
      <c r="C108" s="6" t="s">
        <v>373</v>
      </c>
      <c r="D108" s="12" t="s">
        <v>442</v>
      </c>
      <c r="E108" s="6" t="s">
        <v>23</v>
      </c>
      <c r="F108" s="6" t="s">
        <v>54</v>
      </c>
      <c r="G108" s="6" t="s">
        <v>23</v>
      </c>
      <c r="H108" s="6" t="s">
        <v>25</v>
      </c>
      <c r="I108" s="6" t="s">
        <v>25</v>
      </c>
      <c r="J108" s="6" t="s">
        <v>55</v>
      </c>
      <c r="K108" s="6" t="s">
        <v>42</v>
      </c>
      <c r="L108" s="6" t="s">
        <v>127</v>
      </c>
      <c r="M108" s="6" t="s">
        <v>128</v>
      </c>
      <c r="N108" s="6" t="s">
        <v>57</v>
      </c>
      <c r="O108" s="6" t="s">
        <v>88</v>
      </c>
      <c r="P108" s="6" t="s">
        <v>89</v>
      </c>
      <c r="Q108" s="6" t="s">
        <v>129</v>
      </c>
      <c r="R108" s="6">
        <v>1</v>
      </c>
      <c r="S108" s="6">
        <v>0</v>
      </c>
      <c r="T108" s="6">
        <v>0</v>
      </c>
      <c r="U108" s="6" t="s">
        <v>34</v>
      </c>
    </row>
    <row r="109" spans="1:21" ht="19.5" x14ac:dyDescent="0.7">
      <c r="A109" s="6" t="s">
        <v>374</v>
      </c>
      <c r="B109" s="6" t="s">
        <v>375</v>
      </c>
      <c r="C109" s="6" t="s">
        <v>376</v>
      </c>
      <c r="D109" s="12" t="s">
        <v>442</v>
      </c>
      <c r="E109" s="6" t="s">
        <v>23</v>
      </c>
      <c r="F109" s="6" t="s">
        <v>54</v>
      </c>
      <c r="G109" s="6" t="s">
        <v>23</v>
      </c>
      <c r="H109" s="6" t="s">
        <v>25</v>
      </c>
      <c r="I109" s="6" t="s">
        <v>25</v>
      </c>
      <c r="J109" s="6" t="s">
        <v>55</v>
      </c>
      <c r="K109" s="6" t="s">
        <v>42</v>
      </c>
      <c r="L109" s="6" t="s">
        <v>127</v>
      </c>
      <c r="M109" s="6" t="s">
        <v>128</v>
      </c>
      <c r="N109" s="6" t="s">
        <v>57</v>
      </c>
      <c r="O109" s="6" t="s">
        <v>88</v>
      </c>
      <c r="P109" s="6" t="s">
        <v>89</v>
      </c>
      <c r="Q109" s="6" t="s">
        <v>129</v>
      </c>
      <c r="R109" s="6">
        <v>1</v>
      </c>
      <c r="S109" s="6">
        <v>0</v>
      </c>
      <c r="T109" s="6">
        <v>0</v>
      </c>
      <c r="U109" s="6" t="s">
        <v>34</v>
      </c>
    </row>
    <row r="110" spans="1:21" ht="19.5" x14ac:dyDescent="0.7">
      <c r="A110" s="6" t="s">
        <v>377</v>
      </c>
      <c r="B110" s="6" t="s">
        <v>378</v>
      </c>
      <c r="C110" s="6" t="s">
        <v>379</v>
      </c>
      <c r="D110" s="12" t="s">
        <v>441</v>
      </c>
      <c r="E110" s="6" t="s">
        <v>23</v>
      </c>
      <c r="F110" s="6" t="s">
        <v>54</v>
      </c>
      <c r="G110" s="6" t="s">
        <v>23</v>
      </c>
      <c r="H110" s="6" t="s">
        <v>25</v>
      </c>
      <c r="I110" s="6" t="s">
        <v>25</v>
      </c>
      <c r="J110" s="6" t="s">
        <v>55</v>
      </c>
      <c r="K110" s="6" t="s">
        <v>42</v>
      </c>
      <c r="L110" s="6" t="s">
        <v>127</v>
      </c>
      <c r="M110" s="6" t="s">
        <v>128</v>
      </c>
      <c r="N110" s="6" t="s">
        <v>57</v>
      </c>
      <c r="O110" s="6" t="s">
        <v>88</v>
      </c>
      <c r="P110" s="6" t="s">
        <v>89</v>
      </c>
      <c r="Q110" s="6" t="s">
        <v>129</v>
      </c>
      <c r="R110" s="6">
        <v>1</v>
      </c>
      <c r="S110" s="6">
        <v>0</v>
      </c>
      <c r="T110" s="6">
        <v>0</v>
      </c>
      <c r="U110" s="6" t="s">
        <v>34</v>
      </c>
    </row>
    <row r="111" spans="1:21" ht="19.5" x14ac:dyDescent="0.7">
      <c r="A111" s="6" t="s">
        <v>380</v>
      </c>
      <c r="B111" s="6" t="s">
        <v>381</v>
      </c>
      <c r="C111" s="6" t="s">
        <v>382</v>
      </c>
      <c r="D111" s="12" t="s">
        <v>442</v>
      </c>
      <c r="E111" s="6" t="s">
        <v>23</v>
      </c>
      <c r="F111" s="6" t="s">
        <v>54</v>
      </c>
      <c r="G111" s="6" t="s">
        <v>23</v>
      </c>
      <c r="H111" s="6" t="s">
        <v>25</v>
      </c>
      <c r="I111" s="6" t="s">
        <v>25</v>
      </c>
      <c r="J111" s="6" t="s">
        <v>55</v>
      </c>
      <c r="K111" s="6" t="s">
        <v>42</v>
      </c>
      <c r="L111" s="6" t="s">
        <v>127</v>
      </c>
      <c r="M111" s="6" t="s">
        <v>128</v>
      </c>
      <c r="N111" s="6" t="s">
        <v>57</v>
      </c>
      <c r="O111" s="6" t="s">
        <v>88</v>
      </c>
      <c r="P111" s="6" t="s">
        <v>89</v>
      </c>
      <c r="Q111" s="6" t="s">
        <v>129</v>
      </c>
      <c r="R111" s="6">
        <v>1</v>
      </c>
      <c r="S111" s="6">
        <v>0</v>
      </c>
      <c r="T111" s="6">
        <v>0</v>
      </c>
      <c r="U111" s="6" t="s">
        <v>34</v>
      </c>
    </row>
    <row r="112" spans="1:21" ht="19.5" x14ac:dyDescent="0.7">
      <c r="A112" s="6" t="s">
        <v>383</v>
      </c>
      <c r="B112" s="6" t="s">
        <v>384</v>
      </c>
      <c r="C112" s="6" t="s">
        <v>385</v>
      </c>
      <c r="D112" s="12" t="s">
        <v>442</v>
      </c>
      <c r="E112" s="6" t="s">
        <v>23</v>
      </c>
      <c r="F112" s="6" t="s">
        <v>54</v>
      </c>
      <c r="G112" s="6" t="s">
        <v>23</v>
      </c>
      <c r="H112" s="6" t="s">
        <v>25</v>
      </c>
      <c r="I112" s="6" t="s">
        <v>25</v>
      </c>
      <c r="J112" s="6" t="s">
        <v>55</v>
      </c>
      <c r="K112" s="6" t="s">
        <v>42</v>
      </c>
      <c r="L112" s="6" t="s">
        <v>127</v>
      </c>
      <c r="M112" s="6" t="s">
        <v>128</v>
      </c>
      <c r="N112" s="6" t="s">
        <v>57</v>
      </c>
      <c r="O112" s="6" t="s">
        <v>88</v>
      </c>
      <c r="P112" s="6" t="s">
        <v>89</v>
      </c>
      <c r="Q112" s="6" t="s">
        <v>129</v>
      </c>
      <c r="R112" s="6">
        <v>1</v>
      </c>
      <c r="S112" s="6">
        <v>0</v>
      </c>
      <c r="T112" s="6">
        <v>0</v>
      </c>
      <c r="U112" s="6" t="s">
        <v>34</v>
      </c>
    </row>
    <row r="113" spans="1:21" ht="19.5" x14ac:dyDescent="0.7">
      <c r="A113" s="6" t="s">
        <v>386</v>
      </c>
      <c r="B113" s="6" t="s">
        <v>387</v>
      </c>
      <c r="C113" s="6" t="s">
        <v>388</v>
      </c>
      <c r="D113" s="12" t="s">
        <v>441</v>
      </c>
      <c r="E113" s="6" t="s">
        <v>23</v>
      </c>
      <c r="F113" s="6" t="s">
        <v>54</v>
      </c>
      <c r="G113" s="6" t="s">
        <v>23</v>
      </c>
      <c r="H113" s="6" t="s">
        <v>25</v>
      </c>
      <c r="I113" s="6" t="s">
        <v>25</v>
      </c>
      <c r="J113" s="6" t="s">
        <v>55</v>
      </c>
      <c r="K113" s="6" t="s">
        <v>42</v>
      </c>
      <c r="L113" s="6" t="s">
        <v>127</v>
      </c>
      <c r="M113" s="6" t="s">
        <v>128</v>
      </c>
      <c r="N113" s="6" t="s">
        <v>57</v>
      </c>
      <c r="O113" s="6" t="s">
        <v>88</v>
      </c>
      <c r="P113" s="6" t="s">
        <v>89</v>
      </c>
      <c r="Q113" s="6" t="s">
        <v>129</v>
      </c>
      <c r="R113" s="6">
        <v>1</v>
      </c>
      <c r="S113" s="6">
        <v>0</v>
      </c>
      <c r="T113" s="6">
        <v>0</v>
      </c>
      <c r="U113" s="6" t="s">
        <v>34</v>
      </c>
    </row>
    <row r="114" spans="1:21" ht="19.5" x14ac:dyDescent="0.7">
      <c r="A114" s="6" t="s">
        <v>389</v>
      </c>
      <c r="B114" s="6" t="s">
        <v>390</v>
      </c>
      <c r="C114" s="6" t="s">
        <v>391</v>
      </c>
      <c r="D114" s="12" t="s">
        <v>441</v>
      </c>
      <c r="E114" s="6" t="s">
        <v>23</v>
      </c>
      <c r="F114" s="6" t="s">
        <v>54</v>
      </c>
      <c r="G114" s="6" t="s">
        <v>23</v>
      </c>
      <c r="H114" s="6" t="s">
        <v>25</v>
      </c>
      <c r="I114" s="6" t="s">
        <v>25</v>
      </c>
      <c r="J114" s="6" t="s">
        <v>55</v>
      </c>
      <c r="K114" s="6" t="s">
        <v>42</v>
      </c>
      <c r="L114" s="6" t="s">
        <v>127</v>
      </c>
      <c r="M114" s="6" t="s">
        <v>128</v>
      </c>
      <c r="N114" s="6" t="s">
        <v>57</v>
      </c>
      <c r="O114" s="6" t="s">
        <v>88</v>
      </c>
      <c r="P114" s="6" t="s">
        <v>89</v>
      </c>
      <c r="Q114" s="6" t="s">
        <v>129</v>
      </c>
      <c r="R114" s="6">
        <v>1</v>
      </c>
      <c r="S114" s="6">
        <v>0</v>
      </c>
      <c r="T114" s="6">
        <v>0</v>
      </c>
      <c r="U114" s="6" t="s">
        <v>34</v>
      </c>
    </row>
    <row r="115" spans="1:21" ht="19.5" x14ac:dyDescent="0.7">
      <c r="A115" s="6" t="s">
        <v>392</v>
      </c>
      <c r="B115" s="6" t="s">
        <v>393</v>
      </c>
      <c r="C115" s="6" t="s">
        <v>394</v>
      </c>
      <c r="D115" s="12" t="s">
        <v>442</v>
      </c>
      <c r="E115" s="6" t="s">
        <v>23</v>
      </c>
      <c r="F115" s="6" t="s">
        <v>54</v>
      </c>
      <c r="G115" s="6" t="s">
        <v>23</v>
      </c>
      <c r="H115" s="6" t="s">
        <v>25</v>
      </c>
      <c r="I115" s="6" t="s">
        <v>25</v>
      </c>
      <c r="J115" s="6" t="s">
        <v>55</v>
      </c>
      <c r="K115" s="6" t="s">
        <v>42</v>
      </c>
      <c r="L115" s="6" t="s">
        <v>127</v>
      </c>
      <c r="M115" s="6" t="s">
        <v>128</v>
      </c>
      <c r="N115" s="6" t="s">
        <v>57</v>
      </c>
      <c r="O115" s="6" t="s">
        <v>88</v>
      </c>
      <c r="P115" s="6" t="s">
        <v>89</v>
      </c>
      <c r="Q115" s="6" t="s">
        <v>129</v>
      </c>
      <c r="R115" s="6">
        <v>1</v>
      </c>
      <c r="S115" s="6">
        <v>0</v>
      </c>
      <c r="T115" s="6">
        <v>0</v>
      </c>
      <c r="U115" s="6" t="s">
        <v>34</v>
      </c>
    </row>
    <row r="116" spans="1:21" ht="19.5" x14ac:dyDescent="0.7">
      <c r="A116" s="6" t="s">
        <v>395</v>
      </c>
      <c r="B116" s="6" t="s">
        <v>396</v>
      </c>
      <c r="C116" s="6" t="s">
        <v>397</v>
      </c>
      <c r="D116" s="12" t="s">
        <v>442</v>
      </c>
      <c r="E116" s="6" t="s">
        <v>23</v>
      </c>
      <c r="F116" s="6" t="s">
        <v>54</v>
      </c>
      <c r="G116" s="6" t="s">
        <v>23</v>
      </c>
      <c r="H116" s="6" t="s">
        <v>25</v>
      </c>
      <c r="I116" s="6" t="s">
        <v>25</v>
      </c>
      <c r="J116" s="6" t="s">
        <v>55</v>
      </c>
      <c r="K116" s="6" t="s">
        <v>42</v>
      </c>
      <c r="L116" s="6" t="s">
        <v>127</v>
      </c>
      <c r="M116" s="6" t="s">
        <v>128</v>
      </c>
      <c r="N116" s="6" t="s">
        <v>57</v>
      </c>
      <c r="O116" s="6" t="s">
        <v>88</v>
      </c>
      <c r="P116" s="6" t="s">
        <v>89</v>
      </c>
      <c r="Q116" s="6" t="s">
        <v>129</v>
      </c>
      <c r="R116" s="6">
        <v>1</v>
      </c>
      <c r="S116" s="6">
        <v>0</v>
      </c>
      <c r="T116" s="6">
        <v>0</v>
      </c>
      <c r="U116" s="6" t="s">
        <v>34</v>
      </c>
    </row>
    <row r="117" spans="1:21" ht="19.5" x14ac:dyDescent="0.7">
      <c r="A117" s="6" t="s">
        <v>398</v>
      </c>
      <c r="B117" s="6" t="s">
        <v>399</v>
      </c>
      <c r="C117" s="6" t="s">
        <v>400</v>
      </c>
      <c r="D117" s="12" t="s">
        <v>442</v>
      </c>
      <c r="E117" s="6" t="s">
        <v>23</v>
      </c>
      <c r="F117" s="6" t="s">
        <v>54</v>
      </c>
      <c r="G117" s="6" t="s">
        <v>23</v>
      </c>
      <c r="H117" s="6" t="s">
        <v>25</v>
      </c>
      <c r="I117" s="6" t="s">
        <v>25</v>
      </c>
      <c r="J117" s="6" t="s">
        <v>55</v>
      </c>
      <c r="K117" s="6" t="s">
        <v>42</v>
      </c>
      <c r="L117" s="6" t="s">
        <v>127</v>
      </c>
      <c r="M117" s="6" t="s">
        <v>128</v>
      </c>
      <c r="N117" s="6" t="s">
        <v>57</v>
      </c>
      <c r="O117" s="6" t="s">
        <v>88</v>
      </c>
      <c r="P117" s="6" t="s">
        <v>89</v>
      </c>
      <c r="Q117" s="6" t="s">
        <v>129</v>
      </c>
      <c r="R117" s="6">
        <v>1</v>
      </c>
      <c r="S117" s="6">
        <v>0</v>
      </c>
      <c r="T117" s="6">
        <v>0</v>
      </c>
      <c r="U117" s="6" t="s">
        <v>34</v>
      </c>
    </row>
    <row r="118" spans="1:21" ht="19.5" x14ac:dyDescent="0.7">
      <c r="A118" s="6" t="s">
        <v>401</v>
      </c>
      <c r="B118" s="6" t="s">
        <v>402</v>
      </c>
      <c r="C118" s="6" t="s">
        <v>403</v>
      </c>
      <c r="D118" s="12" t="s">
        <v>442</v>
      </c>
      <c r="E118" s="6" t="s">
        <v>23</v>
      </c>
      <c r="F118" s="6" t="s">
        <v>54</v>
      </c>
      <c r="G118" s="6" t="s">
        <v>23</v>
      </c>
      <c r="H118" s="6" t="s">
        <v>25</v>
      </c>
      <c r="I118" s="6" t="s">
        <v>25</v>
      </c>
      <c r="J118" s="6" t="s">
        <v>55</v>
      </c>
      <c r="K118" s="6" t="s">
        <v>42</v>
      </c>
      <c r="L118" s="6" t="s">
        <v>127</v>
      </c>
      <c r="M118" s="6" t="s">
        <v>128</v>
      </c>
      <c r="N118" s="6" t="s">
        <v>57</v>
      </c>
      <c r="O118" s="6" t="s">
        <v>88</v>
      </c>
      <c r="P118" s="6" t="s">
        <v>89</v>
      </c>
      <c r="Q118" s="6" t="s">
        <v>129</v>
      </c>
      <c r="R118" s="6">
        <v>1</v>
      </c>
      <c r="S118" s="6">
        <v>0</v>
      </c>
      <c r="T118" s="6">
        <v>0</v>
      </c>
      <c r="U118" s="6" t="s">
        <v>34</v>
      </c>
    </row>
    <row r="119" spans="1:21" ht="19.5" x14ac:dyDescent="0.7">
      <c r="A119" s="6" t="s">
        <v>404</v>
      </c>
      <c r="B119" s="6" t="s">
        <v>405</v>
      </c>
      <c r="C119" s="6" t="s">
        <v>406</v>
      </c>
      <c r="D119" s="12" t="s">
        <v>442</v>
      </c>
      <c r="E119" s="6" t="s">
        <v>23</v>
      </c>
      <c r="F119" s="6" t="s">
        <v>54</v>
      </c>
      <c r="G119" s="6" t="s">
        <v>23</v>
      </c>
      <c r="H119" s="6" t="s">
        <v>25</v>
      </c>
      <c r="I119" s="6" t="s">
        <v>25</v>
      </c>
      <c r="J119" s="6" t="s">
        <v>55</v>
      </c>
      <c r="K119" s="6" t="s">
        <v>42</v>
      </c>
      <c r="L119" s="6" t="s">
        <v>127</v>
      </c>
      <c r="M119" s="6" t="s">
        <v>128</v>
      </c>
      <c r="N119" s="6" t="s">
        <v>57</v>
      </c>
      <c r="O119" s="6" t="s">
        <v>88</v>
      </c>
      <c r="P119" s="6" t="s">
        <v>89</v>
      </c>
      <c r="Q119" s="6" t="s">
        <v>129</v>
      </c>
      <c r="R119" s="6">
        <v>1</v>
      </c>
      <c r="S119" s="6">
        <v>0</v>
      </c>
      <c r="T119" s="6">
        <v>0</v>
      </c>
      <c r="U119" s="6" t="s">
        <v>34</v>
      </c>
    </row>
    <row r="120" spans="1:21" ht="19.5" x14ac:dyDescent="0.7">
      <c r="A120" s="6" t="s">
        <v>407</v>
      </c>
      <c r="B120" s="6" t="s">
        <v>408</v>
      </c>
      <c r="C120" s="6" t="s">
        <v>409</v>
      </c>
      <c r="D120" s="12" t="s">
        <v>441</v>
      </c>
      <c r="E120" s="6" t="s">
        <v>23</v>
      </c>
      <c r="F120" s="6" t="s">
        <v>54</v>
      </c>
      <c r="G120" s="6" t="s">
        <v>23</v>
      </c>
      <c r="H120" s="6" t="s">
        <v>25</v>
      </c>
      <c r="I120" s="6" t="s">
        <v>25</v>
      </c>
      <c r="J120" s="6" t="s">
        <v>55</v>
      </c>
      <c r="K120" s="6" t="s">
        <v>42</v>
      </c>
      <c r="L120" s="6" t="s">
        <v>127</v>
      </c>
      <c r="M120" s="6" t="s">
        <v>128</v>
      </c>
      <c r="N120" s="6" t="s">
        <v>57</v>
      </c>
      <c r="O120" s="6" t="s">
        <v>88</v>
      </c>
      <c r="P120" s="6" t="s">
        <v>89</v>
      </c>
      <c r="Q120" s="6" t="s">
        <v>129</v>
      </c>
      <c r="R120" s="6">
        <v>1</v>
      </c>
      <c r="S120" s="6">
        <v>0</v>
      </c>
      <c r="T120" s="6">
        <v>0</v>
      </c>
      <c r="U120" s="6" t="s">
        <v>34</v>
      </c>
    </row>
    <row r="121" spans="1:21" ht="19.5" x14ac:dyDescent="0.7">
      <c r="A121" s="6" t="s">
        <v>410</v>
      </c>
      <c r="B121" s="6" t="s">
        <v>411</v>
      </c>
      <c r="C121" s="6" t="s">
        <v>412</v>
      </c>
      <c r="D121" s="12" t="s">
        <v>442</v>
      </c>
      <c r="E121" s="6" t="s">
        <v>23</v>
      </c>
      <c r="F121" s="6" t="s">
        <v>54</v>
      </c>
      <c r="G121" s="6" t="s">
        <v>23</v>
      </c>
      <c r="H121" s="6" t="s">
        <v>25</v>
      </c>
      <c r="I121" s="6" t="s">
        <v>25</v>
      </c>
      <c r="J121" s="6" t="s">
        <v>55</v>
      </c>
      <c r="K121" s="6" t="s">
        <v>42</v>
      </c>
      <c r="L121" s="6" t="s">
        <v>127</v>
      </c>
      <c r="M121" s="6" t="s">
        <v>128</v>
      </c>
      <c r="N121" s="6" t="s">
        <v>57</v>
      </c>
      <c r="O121" s="6" t="s">
        <v>88</v>
      </c>
      <c r="P121" s="6" t="s">
        <v>89</v>
      </c>
      <c r="Q121" s="6" t="s">
        <v>129</v>
      </c>
      <c r="R121" s="6">
        <v>1</v>
      </c>
      <c r="S121" s="6">
        <v>0</v>
      </c>
      <c r="T121" s="6">
        <v>0</v>
      </c>
      <c r="U121" s="6" t="s">
        <v>34</v>
      </c>
    </row>
    <row r="122" spans="1:21" ht="19.5" x14ac:dyDescent="0.7">
      <c r="A122" s="6" t="s">
        <v>413</v>
      </c>
      <c r="B122" s="6" t="s">
        <v>414</v>
      </c>
      <c r="C122" s="6" t="s">
        <v>415</v>
      </c>
      <c r="D122" s="12" t="s">
        <v>441</v>
      </c>
      <c r="E122" s="6" t="s">
        <v>23</v>
      </c>
      <c r="F122" s="6" t="s">
        <v>54</v>
      </c>
      <c r="G122" s="6" t="s">
        <v>23</v>
      </c>
      <c r="H122" s="6" t="s">
        <v>151</v>
      </c>
      <c r="I122" s="6" t="s">
        <v>151</v>
      </c>
      <c r="J122" s="6" t="s">
        <v>23</v>
      </c>
      <c r="K122" s="6" t="s">
        <v>23</v>
      </c>
      <c r="L122" s="6" t="s">
        <v>23</v>
      </c>
      <c r="M122" s="6" t="s">
        <v>23</v>
      </c>
      <c r="N122" s="6" t="s">
        <v>23</v>
      </c>
      <c r="O122" s="6" t="s">
        <v>23</v>
      </c>
      <c r="P122" s="6">
        <v>0</v>
      </c>
      <c r="Q122" s="6">
        <v>0</v>
      </c>
      <c r="R122" s="6">
        <v>0</v>
      </c>
      <c r="S122" s="6" t="s">
        <v>34</v>
      </c>
      <c r="T122" s="6"/>
      <c r="U122" s="6"/>
    </row>
    <row r="123" spans="1:21" ht="19.5" x14ac:dyDescent="0.7">
      <c r="A123" s="6" t="s">
        <v>416</v>
      </c>
      <c r="B123" s="6" t="s">
        <v>417</v>
      </c>
      <c r="C123" s="6" t="s">
        <v>418</v>
      </c>
      <c r="D123" s="12" t="s">
        <v>442</v>
      </c>
      <c r="E123" s="6" t="s">
        <v>23</v>
      </c>
      <c r="F123" s="6" t="s">
        <v>54</v>
      </c>
      <c r="G123" s="6" t="s">
        <v>23</v>
      </c>
      <c r="H123" s="6" t="s">
        <v>151</v>
      </c>
      <c r="I123" s="6" t="s">
        <v>151</v>
      </c>
      <c r="J123" s="6" t="s">
        <v>23</v>
      </c>
      <c r="K123" s="6" t="s">
        <v>23</v>
      </c>
      <c r="L123" s="6" t="s">
        <v>23</v>
      </c>
      <c r="M123" s="6" t="s">
        <v>23</v>
      </c>
      <c r="N123" s="6" t="s">
        <v>23</v>
      </c>
      <c r="O123" s="6" t="s">
        <v>23</v>
      </c>
      <c r="P123" s="6">
        <v>0</v>
      </c>
      <c r="Q123" s="6">
        <v>0</v>
      </c>
      <c r="R123" s="6">
        <v>0</v>
      </c>
      <c r="S123" s="6" t="s">
        <v>34</v>
      </c>
      <c r="T123" s="6"/>
      <c r="U123" s="6"/>
    </row>
    <row r="124" spans="1:21" ht="19.5" x14ac:dyDescent="0.7">
      <c r="A124" s="6" t="s">
        <v>419</v>
      </c>
      <c r="B124" s="6" t="s">
        <v>420</v>
      </c>
      <c r="C124" s="6" t="s">
        <v>421</v>
      </c>
      <c r="D124" s="12" t="s">
        <v>442</v>
      </c>
      <c r="E124" s="6" t="s">
        <v>23</v>
      </c>
      <c r="F124" s="6" t="s">
        <v>54</v>
      </c>
      <c r="G124" s="6" t="s">
        <v>23</v>
      </c>
      <c r="H124" s="6" t="s">
        <v>151</v>
      </c>
      <c r="I124" s="6" t="s">
        <v>151</v>
      </c>
      <c r="J124" s="6" t="s">
        <v>23</v>
      </c>
      <c r="K124" s="6" t="s">
        <v>23</v>
      </c>
      <c r="L124" s="6" t="s">
        <v>23</v>
      </c>
      <c r="M124" s="6" t="s">
        <v>23</v>
      </c>
      <c r="N124" s="6" t="s">
        <v>23</v>
      </c>
      <c r="O124" s="6" t="s">
        <v>23</v>
      </c>
      <c r="P124" s="6">
        <v>0</v>
      </c>
      <c r="Q124" s="6">
        <v>0</v>
      </c>
      <c r="R124" s="6">
        <v>0</v>
      </c>
      <c r="S124" s="6" t="s">
        <v>34</v>
      </c>
      <c r="T124" s="6"/>
      <c r="U124" s="6"/>
    </row>
    <row r="125" spans="1:21" ht="19.5" x14ac:dyDescent="0.7">
      <c r="A125" s="6" t="s">
        <v>422</v>
      </c>
      <c r="B125" s="6" t="s">
        <v>423</v>
      </c>
      <c r="C125" s="6" t="s">
        <v>424</v>
      </c>
      <c r="D125" s="12" t="s">
        <v>441</v>
      </c>
      <c r="E125" s="6" t="s">
        <v>23</v>
      </c>
      <c r="F125" s="6" t="s">
        <v>54</v>
      </c>
      <c r="G125" s="6" t="s">
        <v>23</v>
      </c>
      <c r="H125" s="6" t="s">
        <v>25</v>
      </c>
      <c r="I125" s="6" t="s">
        <v>25</v>
      </c>
      <c r="J125" s="6" t="s">
        <v>55</v>
      </c>
      <c r="K125" s="6" t="s">
        <v>42</v>
      </c>
      <c r="L125" s="6" t="s">
        <v>127</v>
      </c>
      <c r="M125" s="6" t="s">
        <v>128</v>
      </c>
      <c r="N125" s="6" t="s">
        <v>57</v>
      </c>
      <c r="O125" s="6" t="s">
        <v>88</v>
      </c>
      <c r="P125" s="6" t="s">
        <v>89</v>
      </c>
      <c r="Q125" s="6" t="s">
        <v>129</v>
      </c>
      <c r="R125" s="6">
        <v>1</v>
      </c>
      <c r="S125" s="6">
        <v>0</v>
      </c>
      <c r="T125" s="6">
        <v>0</v>
      </c>
      <c r="U125" s="6" t="s">
        <v>34</v>
      </c>
    </row>
    <row r="126" spans="1:21" ht="19.5" x14ac:dyDescent="0.7">
      <c r="A126" s="6" t="s">
        <v>425</v>
      </c>
      <c r="B126" s="6" t="s">
        <v>426</v>
      </c>
      <c r="C126" s="6" t="s">
        <v>427</v>
      </c>
      <c r="D126" s="12" t="s">
        <v>441</v>
      </c>
      <c r="E126" s="6" t="s">
        <v>23</v>
      </c>
      <c r="F126" s="6" t="s">
        <v>54</v>
      </c>
      <c r="G126" s="6" t="s">
        <v>23</v>
      </c>
      <c r="H126" s="6" t="s">
        <v>25</v>
      </c>
      <c r="I126" s="6" t="s">
        <v>25</v>
      </c>
      <c r="J126" s="6" t="s">
        <v>55</v>
      </c>
      <c r="K126" s="6" t="s">
        <v>42</v>
      </c>
      <c r="L126" s="6" t="s">
        <v>127</v>
      </c>
      <c r="M126" s="6" t="s">
        <v>128</v>
      </c>
      <c r="N126" s="6" t="s">
        <v>57</v>
      </c>
      <c r="O126" s="6" t="s">
        <v>88</v>
      </c>
      <c r="P126" s="6" t="s">
        <v>89</v>
      </c>
      <c r="Q126" s="6" t="s">
        <v>129</v>
      </c>
      <c r="R126" s="6">
        <v>1</v>
      </c>
      <c r="S126" s="6">
        <v>0</v>
      </c>
      <c r="T126" s="6">
        <v>0</v>
      </c>
      <c r="U126" s="6" t="s">
        <v>34</v>
      </c>
    </row>
    <row r="127" spans="1:21" ht="19.5" x14ac:dyDescent="0.7">
      <c r="A127" s="6" t="s">
        <v>428</v>
      </c>
      <c r="B127" s="6" t="s">
        <v>429</v>
      </c>
      <c r="C127" s="6" t="s">
        <v>430</v>
      </c>
      <c r="D127" s="12" t="s">
        <v>442</v>
      </c>
      <c r="E127" s="6" t="s">
        <v>23</v>
      </c>
      <c r="F127" s="6" t="s">
        <v>54</v>
      </c>
      <c r="G127" s="6" t="s">
        <v>23</v>
      </c>
      <c r="H127" s="6" t="s">
        <v>25</v>
      </c>
      <c r="I127" s="6" t="s">
        <v>25</v>
      </c>
      <c r="J127" s="6" t="s">
        <v>55</v>
      </c>
      <c r="K127" s="6" t="s">
        <v>42</v>
      </c>
      <c r="L127" s="6" t="s">
        <v>127</v>
      </c>
      <c r="M127" s="6" t="s">
        <v>128</v>
      </c>
      <c r="N127" s="6" t="s">
        <v>57</v>
      </c>
      <c r="O127" s="6" t="s">
        <v>88</v>
      </c>
      <c r="P127" s="6" t="s">
        <v>89</v>
      </c>
      <c r="Q127" s="6" t="s">
        <v>129</v>
      </c>
      <c r="R127" s="6">
        <v>1</v>
      </c>
      <c r="S127" s="6">
        <v>0</v>
      </c>
      <c r="T127" s="6">
        <v>0</v>
      </c>
      <c r="U127" s="6" t="s">
        <v>34</v>
      </c>
    </row>
    <row r="128" spans="1:21" ht="19.5" x14ac:dyDescent="0.7">
      <c r="A128" s="6" t="s">
        <v>431</v>
      </c>
      <c r="B128" s="6" t="s">
        <v>432</v>
      </c>
      <c r="C128" s="6" t="s">
        <v>433</v>
      </c>
      <c r="D128" s="12" t="s">
        <v>441</v>
      </c>
      <c r="E128" s="6" t="s">
        <v>23</v>
      </c>
      <c r="F128" s="6" t="s">
        <v>54</v>
      </c>
      <c r="G128" s="6" t="s">
        <v>23</v>
      </c>
      <c r="H128" s="6" t="s">
        <v>151</v>
      </c>
      <c r="I128" s="6" t="s">
        <v>151</v>
      </c>
      <c r="J128" s="6" t="s">
        <v>23</v>
      </c>
      <c r="K128" s="6" t="s">
        <v>23</v>
      </c>
      <c r="L128" s="6" t="s">
        <v>23</v>
      </c>
      <c r="M128" s="6" t="s">
        <v>23</v>
      </c>
      <c r="N128" s="6" t="s">
        <v>23</v>
      </c>
      <c r="O128" s="6" t="s">
        <v>23</v>
      </c>
      <c r="P128" s="6">
        <v>0</v>
      </c>
      <c r="Q128" s="6">
        <v>0</v>
      </c>
      <c r="R128" s="6">
        <v>0</v>
      </c>
      <c r="S128" s="6" t="s">
        <v>34</v>
      </c>
      <c r="T128" s="6"/>
      <c r="U128" s="6"/>
    </row>
  </sheetData>
  <mergeCells count="1">
    <mergeCell ref="W1:X1"/>
  </mergeCells>
  <conditionalFormatting sqref="H2:H128">
    <cfRule type="expression" dxfId="21" priority="1">
      <formula>$H2="مقبول"</formula>
    </cfRule>
    <cfRule type="expression" dxfId="20" priority="2">
      <formula>$H2="مقدّم طلب"</formula>
    </cfRule>
    <cfRule type="expression" dxfId="19" priority="3">
      <formula>$H2="مرفوض"</formula>
    </cfRule>
  </conditionalFormatting>
  <conditionalFormatting sqref="I2:I128">
    <cfRule type="expression" dxfId="18" priority="4">
      <formula>$I2="مقبول"</formula>
    </cfRule>
    <cfRule type="expression" dxfId="17" priority="5">
      <formula>$I2="قيد المراجعة"</formula>
    </cfRule>
    <cfRule type="expression" dxfId="16" priority="6">
      <formula>$I2="مرفوض"</formula>
    </cfRule>
  </conditionalFormatting>
  <conditionalFormatting sqref="J2:J128">
    <cfRule type="expression" dxfId="15" priority="7">
      <formula>$J2="حضور فعلي"</formula>
    </cfRule>
    <cfRule type="expression" dxfId="14" priority="8">
      <formula>$J2="حضور جزئي"</formula>
    </cfRule>
    <cfRule type="expression" dxfId="13" priority="9">
      <formula>$J2="مسجل"</formula>
    </cfRule>
    <cfRule type="expression" dxfId="12" priority="10">
      <formula>$J2=""</formula>
    </cfRule>
  </conditionalFormatting>
  <conditionalFormatting sqref="K2:K128">
    <cfRule type="expression" dxfId="11" priority="11">
      <formula>$K2="نعم"</formula>
    </cfRule>
    <cfRule type="expression" dxfId="10" priority="12">
      <formula>$K2="لا"</formula>
    </cfRule>
    <cfRule type="expression" dxfId="9" priority="13">
      <formula>$K2=""</formula>
    </cfRule>
  </conditionalFormatting>
  <conditionalFormatting sqref="R2:R128">
    <cfRule type="expression" dxfId="8" priority="14">
      <formula>OR($R2="",$R2="غير متاحة")</formula>
    </cfRule>
    <cfRule type="expression" dxfId="7" priority="15">
      <formula>AND(ISNUMBER($R2),$R2&gt;0)</formula>
    </cfRule>
    <cfRule type="expression" dxfId="6" priority="16">
      <formula>AND(ISNUMBER($R2),$R2=0)</formula>
    </cfRule>
  </conditionalFormatting>
  <conditionalFormatting sqref="S2:S128">
    <cfRule type="expression" dxfId="5" priority="17">
      <formula>OR($S2="",$S2="غير متاحة")</formula>
    </cfRule>
    <cfRule type="expression" dxfId="4" priority="18">
      <formula>AND(ISNUMBER($S2),$S2&gt;0)</formula>
    </cfRule>
    <cfRule type="expression" dxfId="3" priority="19">
      <formula>AND(ISNUMBER($S2),$S2=0)</formula>
    </cfRule>
  </conditionalFormatting>
  <conditionalFormatting sqref="T2:T128">
    <cfRule type="expression" dxfId="2" priority="20">
      <formula>OR($T2="",$T2="غير متاحة")</formula>
    </cfRule>
    <cfRule type="expression" dxfId="1" priority="21">
      <formula>AND(ISNUMBER($T2),$T2&gt;0)</formula>
    </cfRule>
    <cfRule type="expression" dxfId="0" priority="22">
      <formula>AND(ISNUMBER($T2),$T2=0)</formula>
    </cfRule>
  </conditionalFormatting>
  <pageMargins left="0.7" right="0.7" top="0.75" bottom="0.75" header="0.3" footer="0.3"/>
  <ignoredErrors>
    <ignoredError sqref="E2:U128 E1:G1 I1:U1 A1:C128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92FE-059A-484A-8008-774ACCD5F298}">
  <dimension ref="B2:T57"/>
  <sheetViews>
    <sheetView showGridLines="0" rightToLeft="1" tabSelected="1" workbookViewId="0">
      <selection activeCell="I7" sqref="I7"/>
    </sheetView>
  </sheetViews>
  <sheetFormatPr defaultRowHeight="19.5" x14ac:dyDescent="0.7"/>
  <cols>
    <col min="1" max="1" width="3" style="6" customWidth="1"/>
    <col min="2" max="4" width="8.6640625" style="6"/>
    <col min="5" max="5" width="2.33203125" style="6" customWidth="1"/>
    <col min="6" max="8" width="8.6640625" style="6"/>
    <col min="9" max="9" width="2.33203125" style="6" customWidth="1"/>
    <col min="10" max="12" width="8.6640625" style="6"/>
    <col min="13" max="13" width="2.33203125" style="6" customWidth="1"/>
    <col min="14" max="16" width="8.6640625" style="6"/>
    <col min="17" max="17" width="3" style="6" customWidth="1"/>
    <col min="18" max="18" width="8.6640625" style="6"/>
    <col min="19" max="19" width="23.33203125" style="6" customWidth="1"/>
    <col min="20" max="20" width="8" style="6" customWidth="1"/>
    <col min="21" max="16384" width="8.6640625" style="6"/>
  </cols>
  <sheetData>
    <row r="2" spans="2:16" ht="40" customHeight="1" x14ac:dyDescent="0.7">
      <c r="B2" s="18" t="s">
        <v>443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4" spans="2:16" ht="26" customHeight="1" x14ac:dyDescent="0.7">
      <c r="B4" s="20" t="s">
        <v>444</v>
      </c>
      <c r="C4" s="20"/>
      <c r="D4" s="20"/>
      <c r="F4" s="23" t="s">
        <v>446</v>
      </c>
      <c r="G4" s="23"/>
      <c r="H4" s="23"/>
      <c r="J4" s="27" t="s">
        <v>447</v>
      </c>
      <c r="K4" s="27"/>
      <c r="L4" s="27"/>
      <c r="N4" s="14" t="s">
        <v>9</v>
      </c>
      <c r="O4" s="14"/>
      <c r="P4" s="14"/>
    </row>
    <row r="5" spans="2:16" ht="54" customHeight="1" x14ac:dyDescent="0.7">
      <c r="B5" s="21">
        <f>COUNTA(المشاركين!A2:A128)</f>
        <v>127</v>
      </c>
      <c r="C5" s="21"/>
      <c r="D5" s="21"/>
      <c r="F5" s="24">
        <f>COUNTIF(المشاركين!I2:I128,"مقبول")</f>
        <v>108</v>
      </c>
      <c r="G5" s="24"/>
      <c r="H5" s="24"/>
      <c r="J5" s="28">
        <f>COUNTIF(المشاركين!J2:J128,"حضور فعلي")+COUNTIF(المشاركين!J2:J128,"حضور جزئي")</f>
        <v>53</v>
      </c>
      <c r="K5" s="28"/>
      <c r="L5" s="28"/>
      <c r="N5" s="15">
        <f>COUNTIF(المشاركين!K2:K128,"نعم")</f>
        <v>31</v>
      </c>
      <c r="O5" s="15"/>
      <c r="P5" s="15"/>
    </row>
    <row r="6" spans="2:16" ht="20" customHeight="1" x14ac:dyDescent="0.7">
      <c r="B6" s="22" t="s">
        <v>445</v>
      </c>
      <c r="C6" s="22"/>
      <c r="D6" s="22"/>
      <c r="F6" s="25" t="str">
        <f>TEXT(F5/B5,"0.0%")&amp;" من المتقدمين"</f>
        <v>85.0% من المتقدمين</v>
      </c>
      <c r="G6" s="26"/>
      <c r="H6" s="26"/>
      <c r="J6" s="29" t="str">
        <f>TEXT(J5/F5,"0.0%")&amp;" من المقبولين"</f>
        <v>49.1% من المقبولين</v>
      </c>
      <c r="K6" s="30"/>
      <c r="L6" s="30"/>
      <c r="N6" s="16" t="str">
        <f>TEXT(N5/J5,"0.0%")&amp;" من الحضور"</f>
        <v>58.5% من الحضور</v>
      </c>
      <c r="O6" s="17"/>
      <c r="P6" s="17"/>
    </row>
    <row r="39" spans="19:20" x14ac:dyDescent="0.7">
      <c r="S39" s="7" t="s">
        <v>450</v>
      </c>
    </row>
    <row r="41" spans="19:20" x14ac:dyDescent="0.7">
      <c r="S41" s="8" t="s">
        <v>11</v>
      </c>
      <c r="T41" s="8" t="s">
        <v>448</v>
      </c>
    </row>
    <row r="42" spans="19:20" x14ac:dyDescent="0.7">
      <c r="S42" s="9" t="s">
        <v>29</v>
      </c>
      <c r="T42" s="10">
        <f>COUNTIF(المشاركين!M2:M128,S42)</f>
        <v>20</v>
      </c>
    </row>
    <row r="43" spans="19:20" x14ac:dyDescent="0.7">
      <c r="S43" s="9" t="s">
        <v>128</v>
      </c>
      <c r="T43" s="10">
        <f>COUNTIF(المشاركين!M2:M128,S43)</f>
        <v>88</v>
      </c>
    </row>
    <row r="45" spans="19:20" x14ac:dyDescent="0.7">
      <c r="S45" s="8" t="s">
        <v>449</v>
      </c>
      <c r="T45" s="8" t="s">
        <v>448</v>
      </c>
    </row>
    <row r="46" spans="19:20" x14ac:dyDescent="0.7">
      <c r="S46" s="9" t="s">
        <v>58</v>
      </c>
      <c r="T46" s="10">
        <f>COUNTIF(المشاركين!O2:O128,S46)</f>
        <v>6</v>
      </c>
    </row>
    <row r="47" spans="19:20" x14ac:dyDescent="0.7">
      <c r="S47" s="9" t="s">
        <v>88</v>
      </c>
      <c r="T47" s="10">
        <f>COUNTIF(المشاركين!O2:O128,S47)</f>
        <v>99</v>
      </c>
    </row>
    <row r="48" spans="19:20" x14ac:dyDescent="0.7">
      <c r="S48" s="9" t="s">
        <v>31</v>
      </c>
      <c r="T48" s="10">
        <f>COUNTIF(المشاركين!O2:O128,S48)</f>
        <v>3</v>
      </c>
    </row>
    <row r="50" spans="19:20" x14ac:dyDescent="0.7">
      <c r="S50" s="8" t="s">
        <v>440</v>
      </c>
      <c r="T50" s="8" t="s">
        <v>448</v>
      </c>
    </row>
    <row r="51" spans="19:20" x14ac:dyDescent="0.7">
      <c r="S51" s="9" t="s">
        <v>441</v>
      </c>
      <c r="T51" s="10">
        <f>COUNTIF(المشاركين!D2:D128,S51)</f>
        <v>44</v>
      </c>
    </row>
    <row r="52" spans="19:20" x14ac:dyDescent="0.7">
      <c r="S52" s="9" t="s">
        <v>442</v>
      </c>
      <c r="T52" s="10">
        <f>COUNTIF(المشاركين!D2:D128,S52)</f>
        <v>83</v>
      </c>
    </row>
    <row r="54" spans="19:20" x14ac:dyDescent="0.7">
      <c r="S54" s="8" t="s">
        <v>12</v>
      </c>
      <c r="T54" s="8" t="s">
        <v>448</v>
      </c>
    </row>
    <row r="55" spans="19:20" x14ac:dyDescent="0.7">
      <c r="S55" s="9" t="s">
        <v>30</v>
      </c>
      <c r="T55" s="10">
        <f>COUNTIF(المشاركين!N2:N128,S55)</f>
        <v>3</v>
      </c>
    </row>
    <row r="56" spans="19:20" x14ac:dyDescent="0.7">
      <c r="S56" s="9" t="s">
        <v>57</v>
      </c>
      <c r="T56" s="10">
        <f>COUNTIF(المشاركين!N2:N128,S56)</f>
        <v>94</v>
      </c>
    </row>
    <row r="57" spans="19:20" x14ac:dyDescent="0.7">
      <c r="S57" s="9" t="s">
        <v>87</v>
      </c>
      <c r="T57" s="10">
        <f>COUNTIF(المشاركين!N2:N128,S57)</f>
        <v>11</v>
      </c>
    </row>
  </sheetData>
  <mergeCells count="13">
    <mergeCell ref="N4:P4"/>
    <mergeCell ref="N5:P5"/>
    <mergeCell ref="N6:P6"/>
    <mergeCell ref="B2:P2"/>
    <mergeCell ref="B4:D4"/>
    <mergeCell ref="B5:D5"/>
    <mergeCell ref="B6:D6"/>
    <mergeCell ref="F4:H4"/>
    <mergeCell ref="F5:H5"/>
    <mergeCell ref="F6:H6"/>
    <mergeCell ref="J4:L4"/>
    <mergeCell ref="J5:L5"/>
    <mergeCell ref="J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المشاركين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Bniali</dc:creator>
  <cp:lastModifiedBy>Sultan</cp:lastModifiedBy>
  <dcterms:created xsi:type="dcterms:W3CDTF">2026-07-21T13:03:37Z</dcterms:created>
  <dcterms:modified xsi:type="dcterms:W3CDTF">2026-07-21T13:03:37Z</dcterms:modified>
</cp:coreProperties>
</file>